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ERACION" sheetId="1" r:id="rId5"/>
    <sheet state="visible" name="OP" sheetId="2" r:id="rId6"/>
    <sheet state="visible" name="ANALISIS" sheetId="3" r:id="rId7"/>
    <sheet state="visible" name="SEMANA 1" sheetId="4" r:id="rId8"/>
    <sheet state="visible" name="SEMANA 2" sheetId="5" r:id="rId9"/>
    <sheet state="visible" name="SEMANA 3" sheetId="6" r:id="rId10"/>
    <sheet state="visible" name="SEMANA 4" sheetId="7" r:id="rId11"/>
    <sheet state="visible" name="SEMANA5" sheetId="8" r:id="rId12"/>
  </sheets>
  <definedNames/>
  <calcPr/>
</workbook>
</file>

<file path=xl/sharedStrings.xml><?xml version="1.0" encoding="utf-8"?>
<sst xmlns="http://schemas.openxmlformats.org/spreadsheetml/2006/main" count="3067" uniqueCount="176">
  <si>
    <t>Timestamp</t>
  </si>
  <si>
    <t>TURNO</t>
  </si>
  <si>
    <t>OPERADOR</t>
  </si>
  <si>
    <t>PRODUCTO</t>
  </si>
  <si>
    <t>CALIBRE</t>
  </si>
  <si>
    <t>COLOR DEL PRODUCTO</t>
  </si>
  <si>
    <t>BOBINAS (1500m)</t>
  </si>
  <si>
    <t>BOBINAS (1000m)</t>
  </si>
  <si>
    <t>BOBINAS (500m)</t>
  </si>
  <si>
    <t>BOBINAS (300m)</t>
  </si>
  <si>
    <t>BOBINAS (250m)</t>
  </si>
  <si>
    <t>BOBINAS (200m)</t>
  </si>
  <si>
    <t>BOBINAS (150m)</t>
  </si>
  <si>
    <t>BOBINAS (100 m)</t>
  </si>
  <si>
    <t>BOBINAS (75m)</t>
  </si>
  <si>
    <t>BOBINAS (50 m)</t>
  </si>
  <si>
    <t>ROLLO (100m)</t>
  </si>
  <si>
    <t>Tramos (50m)</t>
  </si>
  <si>
    <t>Tramos (25m)</t>
  </si>
  <si>
    <t>Tramos (10m)</t>
  </si>
  <si>
    <t>EXTENSIONES (3m-5m-10m) - CANTIDAD</t>
  </si>
  <si>
    <t>METROS</t>
  </si>
  <si>
    <t>PAIS [X]</t>
  </si>
  <si>
    <t>LOTE</t>
  </si>
  <si>
    <t>FECHA</t>
  </si>
  <si>
    <t>N</t>
  </si>
  <si>
    <t>LUIS S, FREDDY CH</t>
  </si>
  <si>
    <t>CABLE THHW 7H</t>
  </si>
  <si>
    <t>ROJO</t>
  </si>
  <si>
    <t>COLOMBIA</t>
  </si>
  <si>
    <t>N/A</t>
  </si>
  <si>
    <t>NEGRO</t>
  </si>
  <si>
    <t>M</t>
  </si>
  <si>
    <t>JOEL S, JESSICA V</t>
  </si>
  <si>
    <t>GEMELO SPT</t>
  </si>
  <si>
    <t>2X18</t>
  </si>
  <si>
    <t>BLANCO</t>
  </si>
  <si>
    <t>ECUADOR</t>
  </si>
  <si>
    <t>VERDE</t>
  </si>
  <si>
    <t>AZUL</t>
  </si>
  <si>
    <t>JOEL S, JUAN DIEGO S, JESSICA V</t>
  </si>
  <si>
    <t>DIEGO Z, JESSICA V</t>
  </si>
  <si>
    <t>2X16</t>
  </si>
  <si>
    <t>2X10</t>
  </si>
  <si>
    <t>AMARIILO</t>
  </si>
  <si>
    <t>JUAN DIEGO S, FREDDY CH</t>
  </si>
  <si>
    <t>2X12</t>
  </si>
  <si>
    <t>LUIS S, JESSICA V</t>
  </si>
  <si>
    <t>JOEL S, FREDDY CH</t>
  </si>
  <si>
    <t>HALOGENO HFFR</t>
  </si>
  <si>
    <t>2606H01</t>
  </si>
  <si>
    <t>2X14</t>
  </si>
  <si>
    <t>2606G01</t>
  </si>
  <si>
    <t>CONCENTRICO TC</t>
  </si>
  <si>
    <t>3X14</t>
  </si>
  <si>
    <t>FLEXIBLE THHW PLUS</t>
  </si>
  <si>
    <t>LUIS S, JESSICA V, FREDDY CH</t>
  </si>
  <si>
    <t>JUAN DIEGO S, JESSICA V</t>
  </si>
  <si>
    <t>2606F02</t>
  </si>
  <si>
    <t>2606F04</t>
  </si>
  <si>
    <t>MULTICONDUCTOR TC</t>
  </si>
  <si>
    <t>2606H02</t>
  </si>
  <si>
    <t>DIEGO Z</t>
  </si>
  <si>
    <t>3X12</t>
  </si>
  <si>
    <t>2606M02</t>
  </si>
  <si>
    <t>2606M01</t>
  </si>
  <si>
    <t>4X12</t>
  </si>
  <si>
    <t>LUIS S</t>
  </si>
  <si>
    <t>JOEL S</t>
  </si>
  <si>
    <t>DIEGO Z, FREDDY CH</t>
  </si>
  <si>
    <t>JOEL S, JUAN DIEGO S</t>
  </si>
  <si>
    <t>3X10</t>
  </si>
  <si>
    <t>2606M03</t>
  </si>
  <si>
    <t>2606F05</t>
  </si>
  <si>
    <t>2606F08</t>
  </si>
  <si>
    <t>JOEL S, DIEGO Z</t>
  </si>
  <si>
    <t>2606F03</t>
  </si>
  <si>
    <t>2606F01</t>
  </si>
  <si>
    <t>2606F06</t>
  </si>
  <si>
    <t>2606G02</t>
  </si>
  <si>
    <t>2606M04</t>
  </si>
  <si>
    <t>JESSICA V, FREDDY CH</t>
  </si>
  <si>
    <t>2606M06</t>
  </si>
  <si>
    <t>2606F11</t>
  </si>
  <si>
    <t>FLEXIBLE TFF</t>
  </si>
  <si>
    <t>2606F10</t>
  </si>
  <si>
    <t>2606G03</t>
  </si>
  <si>
    <t>2606M07</t>
  </si>
  <si>
    <t>LUIS S, DIEGO Z</t>
  </si>
  <si>
    <t>2606M05</t>
  </si>
  <si>
    <t>LUIS S, JUAN DIEGO S</t>
  </si>
  <si>
    <t>2606F09</t>
  </si>
  <si>
    <t>2X20</t>
  </si>
  <si>
    <t>2606G04</t>
  </si>
  <si>
    <t>2606F13</t>
  </si>
  <si>
    <t>2606M08</t>
  </si>
  <si>
    <t>JOEL S, BRYAN P</t>
  </si>
  <si>
    <t>LUIS S, MARLON T</t>
  </si>
  <si>
    <t>2606M09</t>
  </si>
  <si>
    <t>2606M12</t>
  </si>
  <si>
    <t>DIEGO Z, JUAN DIEGO S</t>
  </si>
  <si>
    <t>MARLON T, DIEGO Z</t>
  </si>
  <si>
    <t>JESSICA V</t>
  </si>
  <si>
    <t>EXTENSIONES GEMELO</t>
  </si>
  <si>
    <t>BRYAN P</t>
  </si>
  <si>
    <t>2606G05</t>
  </si>
  <si>
    <t>2606F15</t>
  </si>
  <si>
    <t>2606M10</t>
  </si>
  <si>
    <t>BRYAN P, DIEGO Z</t>
  </si>
  <si>
    <t>2606G06</t>
  </si>
  <si>
    <t>JOEL S, MARLON T</t>
  </si>
  <si>
    <t>2606M13</t>
  </si>
  <si>
    <t>DIEGO Z, JUAN DIEGO S, JESSICA V</t>
  </si>
  <si>
    <t>2606F12</t>
  </si>
  <si>
    <t>2606F14</t>
  </si>
  <si>
    <t>2606F07</t>
  </si>
  <si>
    <t>BRYAN P, FREDDY CH</t>
  </si>
  <si>
    <t>BRYAN P, JUAN DIEGO S</t>
  </si>
  <si>
    <t>MARLON T, JUAN DIEGO S</t>
  </si>
  <si>
    <t>3X8</t>
  </si>
  <si>
    <t>2606M11</t>
  </si>
  <si>
    <t>MARLON T</t>
  </si>
  <si>
    <t>MARLON T, FREDDY CH</t>
  </si>
  <si>
    <t>LUIS S, JUAN T</t>
  </si>
  <si>
    <t>FREDDY CH</t>
  </si>
  <si>
    <t>JOEL S, BYRON P</t>
  </si>
  <si>
    <t>CONTROL DE DESPERDICIO</t>
  </si>
  <si>
    <t>Código:</t>
  </si>
  <si>
    <t>R-CC-29</t>
  </si>
  <si>
    <t>Fecha de revisión:</t>
  </si>
  <si>
    <t>25-08-28</t>
  </si>
  <si>
    <t>N° de versión:</t>
  </si>
  <si>
    <t>FEBRERO</t>
  </si>
  <si>
    <t>FAMILIA</t>
  </si>
  <si>
    <t>OP/OT/OI/OC/OTRO</t>
  </si>
  <si>
    <t>DESCRIPCION</t>
  </si>
  <si>
    <t xml:space="preserve">PESO TOTAL </t>
  </si>
  <si>
    <t>PRODUCCION METROS</t>
  </si>
  <si>
    <t>FLEX HFFR</t>
  </si>
  <si>
    <t>OP</t>
  </si>
  <si>
    <t>FLEX THHW</t>
  </si>
  <si>
    <t>MULT-CC</t>
  </si>
  <si>
    <t>2606M14</t>
  </si>
  <si>
    <t>GEM-SPT</t>
  </si>
  <si>
    <t xml:space="preserve"> </t>
  </si>
  <si>
    <t>ANÁLISIS DESPERDICCIO - JUNIO2026</t>
  </si>
  <si>
    <t xml:space="preserve">METROS PRODUCIDOS </t>
  </si>
  <si>
    <t>ESTANDAR g</t>
  </si>
  <si>
    <t>PRODUCCIÓN kg</t>
  </si>
  <si>
    <t>DESPERDICIO kg</t>
  </si>
  <si>
    <t>PORCENTAJE DE DESPERDICIO</t>
  </si>
  <si>
    <t>OBSERVACIONES</t>
  </si>
  <si>
    <t>DESPERDICIO metros</t>
  </si>
  <si>
    <t>BOBINA TRENZADA CON CORTE</t>
  </si>
  <si>
    <t>DESPERDICIO CCAA TRENZADO</t>
  </si>
  <si>
    <t>TOTAL =</t>
  </si>
  <si>
    <t>}</t>
  </si>
  <si>
    <t>REPORTE DE LIBERACIÓN SEMANAL</t>
  </si>
  <si>
    <t xml:space="preserve">METROS POR DIA </t>
  </si>
  <si>
    <t xml:space="preserve">OBSERVACIONES </t>
  </si>
  <si>
    <t>MAÑANA</t>
  </si>
  <si>
    <t xml:space="preserve">TARDE </t>
  </si>
  <si>
    <t xml:space="preserve">NOCHE </t>
  </si>
  <si>
    <t>T</t>
  </si>
  <si>
    <t xml:space="preserve">Argentina Halogenos 12 para presentación de 500 </t>
  </si>
  <si>
    <t xml:space="preserve">Tokio fabricación de flexibles 12 blanco, negro, verde para concéntricos Ecuador 75000 metros </t>
  </si>
  <si>
    <t>TOTAL</t>
  </si>
  <si>
    <t>REPORTE LIBERACIÓN PORCENTUAL %</t>
  </si>
  <si>
    <t xml:space="preserve">PORCENTAJE POR DIA </t>
  </si>
  <si>
    <t>TOTAL %</t>
  </si>
  <si>
    <t xml:space="preserve">Argentina parada por mantenimiento </t>
  </si>
  <si>
    <r>
      <rPr>
        <rFont val="Arial"/>
        <color theme="1"/>
      </rPr>
      <t xml:space="preserve">Argentina parada por mantenimiento, TOKIO FLEX 12 MULTICONDUCTOR 3X12:BLANCO,VERDE NEGRO: </t>
    </r>
    <r>
      <rPr>
        <rFont val="Arial"/>
        <color rgb="FFFF0000"/>
      </rPr>
      <t>30360</t>
    </r>
  </si>
  <si>
    <r>
      <rPr>
        <rFont val="Arial"/>
        <color theme="1"/>
      </rPr>
      <t xml:space="preserve">ARGENTINA FABRICA FLEX 8 CC VERDE,BLANCO, NEGRO </t>
    </r>
    <r>
      <rPr>
        <rFont val="Arial"/>
        <color rgb="FFFF0000"/>
      </rPr>
      <t>(15360 mts</t>
    </r>
    <r>
      <rPr>
        <rFont val="Arial"/>
        <color theme="1"/>
      </rPr>
      <t>), TOKIO GEMELO 2X16 PARA BOBINAS DE 500: (</t>
    </r>
    <r>
      <rPr>
        <rFont val="Arial"/>
        <color rgb="FFFF0000"/>
      </rPr>
      <t>36000 mts)</t>
    </r>
  </si>
  <si>
    <r>
      <rPr>
        <rFont val="Arial"/>
        <color theme="1"/>
      </rPr>
      <t xml:space="preserve">ARGENTINA FLEX 16 CC4X16; BLANCO, VERDE, NEGRO, ROJO: </t>
    </r>
    <r>
      <rPr>
        <rFont val="Arial"/>
        <color rgb="FFFF0000"/>
      </rPr>
      <t xml:space="preserve">(20460 mts) </t>
    </r>
    <r>
      <rPr>
        <rFont val="Arial"/>
        <color theme="1"/>
      </rPr>
      <t>TOKIO GEMELO 2X18 BOBINAS PRESENTACION 500: (35000 mts )</t>
    </r>
  </si>
  <si>
    <t>FABRICACION DE FLEX 12 MULTI COL:BLANCO 60000 MTRS; VERDE 15000 MTRS(TOKIO)</t>
  </si>
  <si>
    <t>FABRICACION DE FLEX 12 MULTI COL:NEGRO 60000 MTRS; VERDE 15000 MTRS(TOKIO)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</si>
</sst>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color rgb="FF434343"/>
      <name val="Roboto"/>
    </font>
    <font>
      <color theme="1"/>
      <name val="Arial"/>
    </font>
    <font>
      <sz val="11.0"/>
      <color rgb="FF434343"/>
      <name val="Roboto"/>
    </font>
    <font>
      <sz val="10.0"/>
      <color theme="1"/>
      <name val="Calibri"/>
    </font>
    <font/>
    <font>
      <b/>
      <sz val="18.0"/>
      <color theme="1"/>
      <name val="Calibri"/>
    </font>
    <font>
      <sz val="11.0"/>
      <color theme="1"/>
      <name val="Calibri"/>
    </font>
    <font>
      <sz val="10.0"/>
      <color theme="1"/>
      <name val="Arial"/>
      <scheme val="minor"/>
    </font>
    <font>
      <b/>
      <sz val="10.0"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sz val="14.0"/>
      <color theme="1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sz val="9.0"/>
      <color theme="1"/>
      <name val="Arial"/>
      <scheme val="minor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color rgb="FF6AA84F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FFEB9C"/>
        <bgColor rgb="FFFFEB9C"/>
      </patternFill>
    </fill>
    <fill>
      <patternFill patternType="solid">
        <fgColor rgb="FFF9CB9C"/>
        <bgColor rgb="FFF9CB9C"/>
      </patternFill>
    </fill>
    <fill>
      <patternFill patternType="solid">
        <fgColor rgb="FFDEEAF6"/>
        <bgColor rgb="FFDEEAF6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C7CE"/>
        <bgColor rgb="FFFFC7CE"/>
      </patternFill>
    </fill>
  </fills>
  <borders count="23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5" numFmtId="164" xfId="0" applyAlignment="1" applyBorder="1" applyFill="1" applyFont="1" applyNumberFormat="1">
      <alignment horizontal="right"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3" fillId="2" fontId="5" numFmtId="14" xfId="0" applyAlignment="1" applyBorder="1" applyFont="1" applyNumberFormat="1">
      <alignment horizontal="right" shrinkToFit="0" vertical="center" wrapText="0"/>
    </xf>
    <xf borderId="4" fillId="3" fontId="5" numFmtId="164" xfId="0" applyAlignment="1" applyBorder="1" applyFill="1" applyFont="1" applyNumberFormat="1">
      <alignment horizontal="right" shrinkToFit="0" vertical="center" wrapText="0"/>
    </xf>
    <xf borderId="5" fillId="3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horizontal="right" shrinkToFit="0" vertical="center" wrapText="0"/>
    </xf>
    <xf borderId="5" fillId="3" fontId="6" numFmtId="0" xfId="0" applyAlignment="1" applyBorder="1" applyFont="1">
      <alignment shrinkToFit="0" vertical="center" wrapText="0"/>
    </xf>
    <xf borderId="6" fillId="3" fontId="5" numFmtId="14" xfId="0" applyAlignment="1" applyBorder="1" applyFont="1" applyNumberFormat="1">
      <alignment horizontal="right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1" xfId="0" applyAlignment="1" applyFont="1" applyNumberFormat="1">
      <alignment readingOrder="0"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horizontal="right" shrinkToFit="0" vertical="center" wrapText="0"/>
    </xf>
    <xf borderId="5" fillId="3" fontId="5" numFmtId="0" xfId="0" applyAlignment="1" applyBorder="1" applyFont="1">
      <alignment horizontal="right" readingOrder="0" shrinkToFit="0" vertical="center" wrapText="0"/>
    </xf>
    <xf borderId="0" fillId="4" fontId="7" numFmtId="0" xfId="0" applyAlignment="1" applyFill="1" applyFont="1">
      <alignment horizontal="left" shrinkToFit="0" vertical="center" wrapText="0"/>
    </xf>
    <xf borderId="5" fillId="3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horizontal="right" shrinkToFit="0" vertical="center" wrapText="0"/>
    </xf>
    <xf borderId="2" fillId="2" fontId="5" numFmtId="0" xfId="0" applyAlignment="1" applyBorder="1" applyFont="1">
      <alignment horizontal="right" readingOrder="0" shrinkToFit="0" vertical="center" wrapText="0"/>
    </xf>
    <xf borderId="5" fillId="3" fontId="6" numFmtId="0" xfId="0" applyAlignment="1" applyBorder="1" applyFont="1">
      <alignment readingOrder="0" shrinkToFit="0" vertical="center" wrapText="0"/>
    </xf>
    <xf borderId="0" fillId="4" fontId="7" numFmtId="0" xfId="0" applyAlignment="1" applyFont="1">
      <alignment horizontal="left" readingOrder="0" shrinkToFit="0" vertical="bottom" wrapText="0"/>
    </xf>
    <xf borderId="0" fillId="4" fontId="7" numFmtId="0" xfId="0" applyAlignment="1" applyFont="1">
      <alignment horizontal="left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7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9" numFmtId="0" xfId="0" applyBorder="1" applyFont="1"/>
    <xf borderId="7" fillId="0" fontId="10" numFmtId="10" xfId="0" applyAlignment="1" applyBorder="1" applyFont="1" applyNumberFormat="1">
      <alignment horizontal="center" shrinkToFit="0" vertical="center" wrapText="1"/>
    </xf>
    <xf borderId="10" fillId="0" fontId="11" numFmtId="10" xfId="0" applyAlignment="1" applyBorder="1" applyFont="1" applyNumberFormat="1">
      <alignment horizontal="center" shrinkToFit="0" vertical="center" wrapText="1"/>
    </xf>
    <xf borderId="10" fillId="0" fontId="11" numFmtId="4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11" fillId="0" fontId="8" numFmtId="0" xfId="0" applyAlignment="1" applyBorder="1" applyFont="1">
      <alignment horizontal="center" shrinkToFit="0" vertical="center" wrapText="1"/>
    </xf>
    <xf borderId="12" fillId="0" fontId="9" numFmtId="0" xfId="0" applyBorder="1" applyFont="1"/>
    <xf borderId="11" fillId="0" fontId="9" numFmtId="0" xfId="0" applyBorder="1" applyFont="1"/>
    <xf borderId="10" fillId="0" fontId="11" numFmtId="4" xfId="0" applyAlignment="1" applyBorder="1" applyFont="1" applyNumberForma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4" fillId="0" fontId="9" numFmtId="0" xfId="0" applyBorder="1" applyFont="1"/>
    <xf borderId="15" fillId="0" fontId="9" numFmtId="0" xfId="0" applyBorder="1" applyFont="1"/>
    <xf borderId="13" fillId="0" fontId="9" numFmtId="0" xfId="0" applyBorder="1" applyFont="1"/>
    <xf borderId="0" fillId="0" fontId="12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" numFmtId="4" xfId="0" applyFont="1" applyNumberFormat="1"/>
    <xf borderId="16" fillId="0" fontId="13" numFmtId="0" xfId="0" applyAlignment="1" applyBorder="1" applyFont="1">
      <alignment horizontal="center" readingOrder="0" shrinkToFit="0" vertical="center" wrapText="1"/>
    </xf>
    <xf borderId="17" fillId="0" fontId="9" numFmtId="0" xfId="0" applyBorder="1" applyFont="1"/>
    <xf borderId="18" fillId="0" fontId="9" numFmtId="0" xfId="0" applyBorder="1" applyFont="1"/>
    <xf borderId="10" fillId="0" fontId="12" numFmtId="0" xfId="0" applyAlignment="1" applyBorder="1" applyFont="1">
      <alignment horizontal="center" readingOrder="0" vertical="center"/>
    </xf>
    <xf borderId="10" fillId="0" fontId="13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0" fillId="5" fontId="14" numFmtId="0" xfId="0" applyAlignment="1" applyBorder="1" applyFill="1" applyFont="1">
      <alignment horizontal="center" shrinkToFit="0" vertical="center" wrapText="1"/>
    </xf>
    <xf borderId="19" fillId="6" fontId="14" numFmtId="4" xfId="0" applyAlignment="1" applyBorder="1" applyFill="1" applyFont="1" applyNumberFormat="1">
      <alignment horizontal="center" readingOrder="0" vertical="center"/>
    </xf>
    <xf borderId="10" fillId="7" fontId="12" numFmtId="0" xfId="0" applyAlignment="1" applyBorder="1" applyFill="1" applyFont="1">
      <alignment horizontal="center" readingOrder="0" vertical="center"/>
    </xf>
    <xf borderId="10" fillId="7" fontId="8" numFmtId="0" xfId="0" applyAlignment="1" applyBorder="1" applyFont="1">
      <alignment horizontal="center" readingOrder="0" shrinkToFit="0" vertical="center" wrapText="1"/>
    </xf>
    <xf borderId="20" fillId="5" fontId="8" numFmtId="0" xfId="0" applyAlignment="1" applyBorder="1" applyFont="1">
      <alignment horizontal="center" readingOrder="0" vertical="center"/>
    </xf>
    <xf borderId="10" fillId="6" fontId="8" numFmtId="4" xfId="0" applyAlignment="1" applyBorder="1" applyFont="1" applyNumberFormat="1">
      <alignment horizontal="center" readingOrder="0"/>
    </xf>
    <xf borderId="0" fillId="0" fontId="8" numFmtId="0" xfId="0" applyFont="1"/>
    <xf borderId="10" fillId="8" fontId="12" numFmtId="0" xfId="0" applyAlignment="1" applyBorder="1" applyFill="1" applyFont="1">
      <alignment horizontal="center" readingOrder="0" vertical="center"/>
    </xf>
    <xf borderId="10" fillId="8" fontId="8" numFmtId="0" xfId="0" applyAlignment="1" applyBorder="1" applyFont="1">
      <alignment horizontal="center" readingOrder="0" vertical="center"/>
    </xf>
    <xf borderId="10" fillId="8" fontId="8" numFmtId="0" xfId="0" applyAlignment="1" applyBorder="1" applyFont="1">
      <alignment horizontal="center" readingOrder="0" shrinkToFit="0" vertical="center" wrapText="1"/>
    </xf>
    <xf borderId="10" fillId="9" fontId="12" numFmtId="0" xfId="0" applyAlignment="1" applyBorder="1" applyFill="1" applyFont="1">
      <alignment horizontal="center" readingOrder="0" vertical="center"/>
    </xf>
    <xf borderId="10" fillId="9" fontId="8" numFmtId="0" xfId="0" applyAlignment="1" applyBorder="1" applyFont="1">
      <alignment horizontal="center" readingOrder="0" shrinkToFit="0" vertical="center" wrapText="1"/>
    </xf>
    <xf borderId="10" fillId="9" fontId="15" numFmtId="0" xfId="0" applyAlignment="1" applyBorder="1" applyFont="1">
      <alignment horizontal="center" readingOrder="0" shrinkToFit="0" vertical="bottom" wrapText="1"/>
    </xf>
    <xf borderId="10" fillId="9" fontId="15" numFmtId="0" xfId="0" applyAlignment="1" applyBorder="1" applyFont="1">
      <alignment horizontal="center" readingOrder="0" shrinkToFit="0" vertical="center" wrapText="1"/>
    </xf>
    <xf borderId="10" fillId="9" fontId="15" numFmtId="0" xfId="0" applyAlignment="1" applyBorder="1" applyFont="1">
      <alignment horizontal="center" shrinkToFit="0" vertical="center" wrapText="1"/>
    </xf>
    <xf borderId="10" fillId="10" fontId="12" numFmtId="0" xfId="0" applyAlignment="1" applyBorder="1" applyFill="1" applyFont="1">
      <alignment horizontal="center" readingOrder="0" vertical="center"/>
    </xf>
    <xf borderId="10" fillId="10" fontId="8" numFmtId="0" xfId="0" applyAlignment="1" applyBorder="1" applyFont="1">
      <alignment horizontal="center" readingOrder="0" shrinkToFit="0" vertical="center" wrapText="1"/>
    </xf>
    <xf borderId="19" fillId="5" fontId="8" numFmtId="0" xfId="0" applyAlignment="1" applyBorder="1" applyFont="1">
      <alignment horizontal="center" readingOrder="0" vertical="center"/>
    </xf>
    <xf borderId="10" fillId="0" fontId="11" numFmtId="0" xfId="0" applyAlignment="1" applyBorder="1" applyFont="1">
      <alignment horizontal="center" readingOrder="0" shrinkToFit="0" vertical="center" wrapText="1"/>
    </xf>
    <xf borderId="10" fillId="11" fontId="11" numFmtId="0" xfId="0" applyAlignment="1" applyBorder="1" applyFill="1" applyFont="1">
      <alignment horizontal="center" vertical="center"/>
    </xf>
    <xf borderId="0" fillId="12" fontId="1" numFmtId="4" xfId="0" applyFill="1" applyFont="1" applyNumberFormat="1"/>
    <xf borderId="0" fillId="11" fontId="1" numFmtId="4" xfId="0" applyFont="1" applyNumberFormat="1"/>
    <xf borderId="0" fillId="13" fontId="1" numFmtId="4" xfId="0" applyFill="1" applyFont="1" applyNumberFormat="1"/>
    <xf borderId="0" fillId="0" fontId="1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14" fillId="14" fontId="16" numFmtId="0" xfId="0" applyAlignment="1" applyBorder="1" applyFill="1" applyFont="1">
      <alignment horizontal="center" readingOrder="0"/>
    </xf>
    <xf borderId="0" fillId="0" fontId="2" numFmtId="4" xfId="0" applyAlignment="1" applyFont="1" applyNumberFormat="1">
      <alignment horizontal="center" vertical="center"/>
    </xf>
    <xf borderId="10" fillId="7" fontId="17" numFmtId="4" xfId="0" applyAlignment="1" applyBorder="1" applyFont="1" applyNumberFormat="1">
      <alignment horizontal="center" vertical="center"/>
    </xf>
    <xf borderId="10" fillId="7" fontId="17" numFmtId="0" xfId="0" applyAlignment="1" applyBorder="1" applyFont="1">
      <alignment horizontal="center" vertical="center"/>
    </xf>
    <xf borderId="10" fillId="7" fontId="18" numFmtId="4" xfId="0" applyAlignment="1" applyBorder="1" applyFont="1" applyNumberFormat="1">
      <alignment horizontal="center" shrinkToFit="0" vertical="center" wrapText="1"/>
    </xf>
    <xf borderId="10" fillId="7" fontId="18" numFmtId="4" xfId="0" applyAlignment="1" applyBorder="1" applyFont="1" applyNumberFormat="1">
      <alignment horizontal="center" readingOrder="0" shrinkToFit="0" vertical="center" wrapText="1"/>
    </xf>
    <xf borderId="10" fillId="7" fontId="18" numFmtId="10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ont="1">
      <alignment horizontal="center" readingOrder="0" vertical="center"/>
    </xf>
    <xf borderId="10" fillId="7" fontId="2" numFmtId="4" xfId="0" applyAlignment="1" applyBorder="1" applyFont="1" applyNumberFormat="1">
      <alignment horizontal="center" readingOrder="0" vertical="center"/>
    </xf>
    <xf borderId="10" fillId="15" fontId="19" numFmtId="4" xfId="0" applyAlignment="1" applyBorder="1" applyFill="1" applyFont="1" applyNumberFormat="1">
      <alignment horizontal="center" readingOrder="0"/>
    </xf>
    <xf borderId="10" fillId="15" fontId="1" numFmtId="0" xfId="0" applyAlignment="1" applyBorder="1" applyFont="1">
      <alignment horizontal="center" readingOrder="0"/>
    </xf>
    <xf borderId="10" fillId="0" fontId="1" numFmtId="4" xfId="0" applyAlignment="1" applyBorder="1" applyFont="1" applyNumberFormat="1">
      <alignment horizontal="center"/>
    </xf>
    <xf borderId="10" fillId="0" fontId="1" numFmtId="4" xfId="0" applyAlignment="1" applyBorder="1" applyFont="1" applyNumberFormat="1">
      <alignment horizontal="center" readingOrder="0"/>
    </xf>
    <xf borderId="10" fillId="0" fontId="1" numFmtId="10" xfId="0" applyAlignment="1" applyBorder="1" applyFont="1" applyNumberFormat="1">
      <alignment horizontal="center"/>
    </xf>
    <xf borderId="10" fillId="0" fontId="1" numFmtId="0" xfId="0" applyBorder="1" applyFont="1"/>
    <xf borderId="10" fillId="0" fontId="1" numFmtId="0" xfId="0" applyAlignment="1" applyBorder="1" applyFont="1">
      <alignment readingOrder="0"/>
    </xf>
    <xf borderId="10" fillId="16" fontId="1" numFmtId="0" xfId="0" applyAlignment="1" applyBorder="1" applyFill="1" applyFont="1">
      <alignment horizontal="center" readingOrder="0"/>
    </xf>
    <xf borderId="10" fillId="10" fontId="1" numFmtId="0" xfId="0" applyAlignment="1" applyBorder="1" applyFont="1">
      <alignment horizontal="center" readingOrder="0"/>
    </xf>
    <xf borderId="10" fillId="17" fontId="1" numFmtId="0" xfId="0" applyAlignment="1" applyBorder="1" applyFill="1" applyFont="1">
      <alignment horizontal="center" readingOrder="0"/>
    </xf>
    <xf borderId="16" fillId="0" fontId="20" numFmtId="0" xfId="0" applyAlignment="1" applyBorder="1" applyFont="1">
      <alignment horizontal="center" readingOrder="0"/>
    </xf>
    <xf borderId="10" fillId="7" fontId="1" numFmtId="4" xfId="0" applyAlignment="1" applyBorder="1" applyFont="1" applyNumberFormat="1">
      <alignment horizontal="center"/>
    </xf>
    <xf borderId="10" fillId="11" fontId="1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shrinkToFit="0" wrapText="1"/>
    </xf>
    <xf borderId="16" fillId="0" fontId="21" numFmtId="0" xfId="0" applyAlignment="1" applyBorder="1" applyFont="1">
      <alignment horizontal="center" readingOrder="0"/>
    </xf>
    <xf borderId="0" fillId="0" fontId="2" numFmtId="0" xfId="0" applyFont="1"/>
    <xf borderId="19" fillId="18" fontId="2" numFmtId="0" xfId="0" applyAlignment="1" applyBorder="1" applyFill="1" applyFont="1">
      <alignment horizontal="center" readingOrder="0" vertical="center"/>
    </xf>
    <xf borderId="16" fillId="18" fontId="2" numFmtId="4" xfId="0" applyAlignment="1" applyBorder="1" applyFont="1" applyNumberFormat="1">
      <alignment horizontal="center" readingOrder="0"/>
    </xf>
    <xf borderId="19" fillId="18" fontId="2" numFmtId="4" xfId="0" applyAlignment="1" applyBorder="1" applyFont="1" applyNumberFormat="1">
      <alignment horizontal="center" readingOrder="0" shrinkToFit="0" vertical="center" wrapText="1"/>
    </xf>
    <xf borderId="19" fillId="18" fontId="2" numFmtId="0" xfId="0" applyAlignment="1" applyBorder="1" applyFont="1">
      <alignment horizontal="center" readingOrder="0" shrinkToFit="0" vertical="center" wrapText="1"/>
    </xf>
    <xf borderId="21" fillId="0" fontId="9" numFmtId="0" xfId="0" applyBorder="1" applyFont="1"/>
    <xf borderId="10" fillId="18" fontId="2" numFmtId="4" xfId="0" applyAlignment="1" applyBorder="1" applyFont="1" applyNumberFormat="1">
      <alignment horizontal="center" readingOrder="0"/>
    </xf>
    <xf borderId="22" fillId="0" fontId="9" numFmtId="0" xfId="0" applyBorder="1" applyFont="1"/>
    <xf borderId="10" fillId="0" fontId="1" numFmtId="165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horizontal="center" readingOrder="0" shrinkToFit="0" wrapText="1"/>
    </xf>
    <xf borderId="10" fillId="0" fontId="22" numFmtId="4" xfId="0" applyAlignment="1" applyBorder="1" applyFont="1" applyNumberFormat="1">
      <alignment horizontal="center" readingOrder="0"/>
    </xf>
    <xf borderId="10" fillId="0" fontId="2" numFmtId="4" xfId="0" applyAlignment="1" applyBorder="1" applyFont="1" applyNumberFormat="1">
      <alignment horizontal="center" readingOrder="0"/>
    </xf>
    <xf borderId="0" fillId="0" fontId="1" numFmtId="10" xfId="0" applyAlignment="1" applyFont="1" applyNumberFormat="1">
      <alignment readingOrder="0" shrinkToFit="0" wrapText="1"/>
    </xf>
    <xf borderId="19" fillId="7" fontId="2" numFmtId="0" xfId="0" applyAlignment="1" applyBorder="1" applyFont="1">
      <alignment horizontal="center" readingOrder="0" vertical="center"/>
    </xf>
    <xf borderId="16" fillId="7" fontId="2" numFmtId="4" xfId="0" applyAlignment="1" applyBorder="1" applyFont="1" applyNumberFormat="1">
      <alignment horizontal="center" readingOrder="0"/>
    </xf>
    <xf borderId="19" fillId="7" fontId="2" numFmtId="4" xfId="0" applyAlignment="1" applyBorder="1" applyFont="1" applyNumberFormat="1">
      <alignment horizontal="center" readingOrder="0" shrinkToFit="0" vertical="center" wrapText="1"/>
    </xf>
    <xf borderId="10" fillId="7" fontId="2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9900"/>
      </font>
      <fill>
        <patternFill patternType="none"/>
      </fill>
      <border/>
    </dxf>
    <dxf>
      <font>
        <b/>
        <u/>
        <color rgb="FFFF0000"/>
      </font>
      <fill>
        <patternFill patternType="none"/>
      </fill>
      <border/>
    </dxf>
    <dxf>
      <font>
        <color theme="7"/>
      </font>
      <fill>
        <patternFill patternType="none"/>
      </fill>
      <border/>
    </dxf>
    <dxf>
      <font>
        <color theme="8"/>
      </font>
      <fill>
        <patternFill patternType="none"/>
      </fill>
      <border/>
    </dxf>
    <dxf>
      <font>
        <color theme="5"/>
      </font>
      <fill>
        <patternFill patternType="none"/>
      </fill>
      <border/>
    </dxf>
  </dxfs>
  <tableStyles count="1">
    <tableStyle count="4" pivot="0" name="LIBERAC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0</xdr:row>
      <xdr:rowOff>38100</xdr:rowOff>
    </xdr:from>
    <xdr:ext cx="1628775" cy="438150"/>
    <xdr:pic>
      <xdr:nvPicPr>
        <xdr:cNvPr descr="CBAC12AR - CABLE THW No. 12 AMARILLO ALUMINIO/COBRIZADO 600V 75 Gr ...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Y423" displayName="Form_Responses" name="Form_Responses" id="1">
  <tableColumns count="25">
    <tableColumn name="Timestamp" id="1"/>
    <tableColumn name="TURNO" id="2"/>
    <tableColumn name="OPERADOR" id="3"/>
    <tableColumn name="PRODUCTO" id="4"/>
    <tableColumn name="CALIBRE" id="5"/>
    <tableColumn name="COLOR DEL PRODUCTO" id="6"/>
    <tableColumn name="BOBINAS (1500m)" id="7"/>
    <tableColumn name="BOBINAS (1000m)" id="8"/>
    <tableColumn name="BOBINAS (500m)" id="9"/>
    <tableColumn name="BOBINAS (300m)" id="10"/>
    <tableColumn name="BOBINAS (250m)" id="11"/>
    <tableColumn name="BOBINAS (200m)" id="12"/>
    <tableColumn name="BOBINAS (150m)" id="13"/>
    <tableColumn name="BOBINAS (100 m)" id="14"/>
    <tableColumn name="BOBINAS (75m)" id="15"/>
    <tableColumn name="BOBINAS (50 m)" id="16"/>
    <tableColumn name="ROLLO (100m)" id="17"/>
    <tableColumn name="Tramos (50m)" id="18"/>
    <tableColumn name="Tramos (25m)" id="19"/>
    <tableColumn name="Tramos (10m)" id="20"/>
    <tableColumn name="EXTENSIONES (3m-5m-10m) - CANTIDAD" id="21"/>
    <tableColumn name="METROS" id="22"/>
    <tableColumn name="PAIS [X]" id="23"/>
    <tableColumn name="LOTE" id="24"/>
    <tableColumn name="FECHA" id="25"/>
  </tableColumns>
  <tableStyleInfo name="LIBERAC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10.38"/>
    <col customWidth="1" min="3" max="3" width="13.0"/>
    <col customWidth="1" min="4" max="4" width="15.75"/>
    <col customWidth="1" min="5" max="5" width="11.0"/>
    <col customWidth="1" min="6" max="6" width="14.38"/>
    <col customWidth="1" min="7" max="7" width="11.13"/>
    <col customWidth="1" min="8" max="8" width="11.25"/>
    <col customWidth="1" min="9" max="9" width="11.75"/>
    <col customWidth="1" min="10" max="10" width="12.0"/>
    <col customWidth="1" min="11" max="11" width="11.25"/>
    <col customWidth="1" min="12" max="13" width="11.38"/>
    <col customWidth="1" min="14" max="15" width="11.5"/>
    <col customWidth="1" min="16" max="16" width="11.75"/>
    <col customWidth="1" min="17" max="17" width="12.13"/>
    <col customWidth="1" min="18" max="18" width="12.63"/>
    <col customWidth="1" min="19" max="19" width="10.5"/>
    <col customWidth="1" min="20" max="20" width="11.5"/>
    <col customWidth="1" min="21" max="21" width="20.0"/>
    <col customWidth="1" min="22" max="22" width="15.38"/>
    <col customWidth="1" min="23" max="23" width="18.88"/>
    <col customWidth="1" min="24" max="24" width="12.88"/>
    <col customWidth="1" min="25" max="25" width="14.5"/>
    <col customWidth="1" min="26" max="31" width="18.88"/>
  </cols>
  <sheetData>
    <row r="1">
      <c r="A1" s="1"/>
      <c r="B1" s="2"/>
      <c r="C1" s="2"/>
      <c r="D1" s="2"/>
      <c r="E1" s="2"/>
      <c r="F1" s="2"/>
      <c r="G1" s="3">
        <v>1500.0</v>
      </c>
      <c r="H1" s="3">
        <v>1000.0</v>
      </c>
      <c r="I1" s="3">
        <v>500.0</v>
      </c>
      <c r="J1" s="3">
        <v>300.0</v>
      </c>
      <c r="K1" s="3">
        <v>250.0</v>
      </c>
      <c r="L1" s="3">
        <v>200.0</v>
      </c>
      <c r="M1" s="3">
        <v>150.0</v>
      </c>
      <c r="N1" s="3">
        <v>100.0</v>
      </c>
      <c r="O1" s="3">
        <v>75.0</v>
      </c>
      <c r="P1" s="3">
        <v>50.0</v>
      </c>
      <c r="Q1" s="3">
        <v>100.0</v>
      </c>
      <c r="R1" s="3">
        <v>50.0</v>
      </c>
      <c r="S1" s="3">
        <v>25.0</v>
      </c>
      <c r="T1" s="3">
        <v>10.0</v>
      </c>
      <c r="U1" s="2"/>
      <c r="V1" s="1"/>
      <c r="W1" s="4">
        <f>SUM(V:V)</f>
        <v>3328220</v>
      </c>
      <c r="X1" s="2"/>
      <c r="Y1" s="2"/>
    </row>
    <row r="2" ht="22.5" customHeight="1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7"/>
      <c r="AA2" s="7"/>
      <c r="AB2" s="7"/>
      <c r="AC2" s="7"/>
      <c r="AD2" s="7"/>
      <c r="AE2" s="7"/>
    </row>
    <row r="3" ht="22.5" customHeight="1">
      <c r="A3" s="8">
        <v>46174.33369135417</v>
      </c>
      <c r="B3" s="9" t="s">
        <v>25</v>
      </c>
      <c r="C3" s="9" t="s">
        <v>26</v>
      </c>
      <c r="D3" s="9" t="s">
        <v>27</v>
      </c>
      <c r="E3" s="10">
        <v>12.0</v>
      </c>
      <c r="F3" s="9" t="s">
        <v>28</v>
      </c>
      <c r="G3" s="11"/>
      <c r="H3" s="11"/>
      <c r="I3" s="12"/>
      <c r="J3" s="12"/>
      <c r="K3" s="12"/>
      <c r="L3" s="12"/>
      <c r="M3" s="12"/>
      <c r="N3" s="12"/>
      <c r="O3" s="12"/>
      <c r="P3" s="12"/>
      <c r="Q3" s="10">
        <v>400.0</v>
      </c>
      <c r="R3" s="12"/>
      <c r="S3" s="12"/>
      <c r="T3" s="12"/>
      <c r="U3" s="12"/>
      <c r="V3" s="10">
        <f t="shared" ref="V3:V252" si="1">SUMPRODUCT(G3:T3,$G$1:$T$1)</f>
        <v>40000</v>
      </c>
      <c r="W3" s="9" t="s">
        <v>29</v>
      </c>
      <c r="X3" s="13" t="s">
        <v>30</v>
      </c>
      <c r="Y3" s="14">
        <v>46174.0</v>
      </c>
    </row>
    <row r="4" ht="22.5" customHeight="1">
      <c r="A4" s="15">
        <v>46174.335895763885</v>
      </c>
      <c r="B4" s="16" t="s">
        <v>25</v>
      </c>
      <c r="C4" s="16" t="s">
        <v>26</v>
      </c>
      <c r="D4" s="16" t="s">
        <v>27</v>
      </c>
      <c r="E4" s="17">
        <v>12.0</v>
      </c>
      <c r="F4" s="16" t="s">
        <v>31</v>
      </c>
      <c r="G4" s="11"/>
      <c r="H4" s="11"/>
      <c r="I4" s="18"/>
      <c r="J4" s="18"/>
      <c r="K4" s="18"/>
      <c r="L4" s="18"/>
      <c r="M4" s="18"/>
      <c r="N4" s="18"/>
      <c r="O4" s="18"/>
      <c r="P4" s="18"/>
      <c r="Q4" s="17">
        <v>400.0</v>
      </c>
      <c r="R4" s="18"/>
      <c r="S4" s="18"/>
      <c r="T4" s="18"/>
      <c r="U4" s="18"/>
      <c r="V4" s="17">
        <f t="shared" si="1"/>
        <v>40000</v>
      </c>
      <c r="W4" s="16" t="s">
        <v>29</v>
      </c>
      <c r="X4" s="13" t="s">
        <v>30</v>
      </c>
      <c r="Y4" s="19">
        <v>46174.0</v>
      </c>
    </row>
    <row r="5" ht="22.5" customHeight="1">
      <c r="A5" s="8">
        <v>46174.336550277774</v>
      </c>
      <c r="B5" s="9" t="s">
        <v>32</v>
      </c>
      <c r="C5" s="9" t="s">
        <v>33</v>
      </c>
      <c r="D5" s="9" t="s">
        <v>34</v>
      </c>
      <c r="E5" s="9" t="s">
        <v>35</v>
      </c>
      <c r="F5" s="9" t="s">
        <v>36</v>
      </c>
      <c r="G5" s="11"/>
      <c r="H5" s="11"/>
      <c r="I5" s="12"/>
      <c r="J5" s="12"/>
      <c r="K5" s="12"/>
      <c r="L5" s="12"/>
      <c r="M5" s="12"/>
      <c r="N5" s="12"/>
      <c r="O5" s="12"/>
      <c r="P5" s="12"/>
      <c r="Q5" s="10">
        <v>185.0</v>
      </c>
      <c r="R5" s="12"/>
      <c r="S5" s="12"/>
      <c r="T5" s="12"/>
      <c r="U5" s="12"/>
      <c r="V5" s="10">
        <f t="shared" si="1"/>
        <v>18500</v>
      </c>
      <c r="W5" s="9" t="s">
        <v>37</v>
      </c>
      <c r="X5" s="13" t="s">
        <v>30</v>
      </c>
      <c r="Y5" s="14">
        <v>46174.0</v>
      </c>
    </row>
    <row r="6" ht="22.5" customHeight="1">
      <c r="A6" s="15">
        <v>46174.3390162037</v>
      </c>
      <c r="B6" s="16" t="s">
        <v>32</v>
      </c>
      <c r="C6" s="16" t="s">
        <v>33</v>
      </c>
      <c r="D6" s="16" t="s">
        <v>27</v>
      </c>
      <c r="E6" s="17">
        <v>12.0</v>
      </c>
      <c r="F6" s="16" t="s">
        <v>31</v>
      </c>
      <c r="G6" s="11"/>
      <c r="H6" s="11"/>
      <c r="I6" s="18"/>
      <c r="J6" s="18"/>
      <c r="K6" s="18"/>
      <c r="L6" s="18"/>
      <c r="M6" s="18"/>
      <c r="N6" s="18"/>
      <c r="O6" s="18"/>
      <c r="P6" s="18"/>
      <c r="Q6" s="17">
        <v>366.0</v>
      </c>
      <c r="R6" s="18"/>
      <c r="S6" s="18"/>
      <c r="T6" s="18"/>
      <c r="U6" s="18"/>
      <c r="V6" s="17">
        <f t="shared" si="1"/>
        <v>36600</v>
      </c>
      <c r="W6" s="16" t="s">
        <v>29</v>
      </c>
      <c r="X6" s="13" t="s">
        <v>30</v>
      </c>
      <c r="Y6" s="19">
        <v>46174.0</v>
      </c>
    </row>
    <row r="7" ht="22.5" customHeight="1">
      <c r="A7" s="8">
        <v>46174.3397744213</v>
      </c>
      <c r="B7" s="9" t="s">
        <v>32</v>
      </c>
      <c r="C7" s="9" t="s">
        <v>33</v>
      </c>
      <c r="D7" s="9" t="s">
        <v>27</v>
      </c>
      <c r="E7" s="10">
        <v>12.0</v>
      </c>
      <c r="F7" s="9" t="s">
        <v>28</v>
      </c>
      <c r="G7" s="11"/>
      <c r="H7" s="11"/>
      <c r="I7" s="12"/>
      <c r="J7" s="12"/>
      <c r="K7" s="12"/>
      <c r="L7" s="12"/>
      <c r="M7" s="12"/>
      <c r="N7" s="12"/>
      <c r="O7" s="12"/>
      <c r="P7" s="12"/>
      <c r="Q7" s="10">
        <v>400.0</v>
      </c>
      <c r="R7" s="12"/>
      <c r="S7" s="12"/>
      <c r="T7" s="12"/>
      <c r="U7" s="12"/>
      <c r="V7" s="10">
        <f t="shared" si="1"/>
        <v>40000</v>
      </c>
      <c r="W7" s="9" t="s">
        <v>29</v>
      </c>
      <c r="X7" s="13" t="s">
        <v>30</v>
      </c>
      <c r="Y7" s="14">
        <v>46174.0</v>
      </c>
    </row>
    <row r="8" ht="22.5" customHeight="1">
      <c r="A8" s="15">
        <v>46174.341273287035</v>
      </c>
      <c r="B8" s="16" t="s">
        <v>32</v>
      </c>
      <c r="C8" s="16" t="s">
        <v>33</v>
      </c>
      <c r="D8" s="16" t="s">
        <v>27</v>
      </c>
      <c r="E8" s="17">
        <v>8.0</v>
      </c>
      <c r="F8" s="16" t="s">
        <v>28</v>
      </c>
      <c r="G8" s="11"/>
      <c r="H8" s="11"/>
      <c r="I8" s="17">
        <v>5.0</v>
      </c>
      <c r="J8" s="18"/>
      <c r="K8" s="18"/>
      <c r="L8" s="18"/>
      <c r="M8" s="18"/>
      <c r="N8" s="18"/>
      <c r="O8" s="18"/>
      <c r="P8" s="18"/>
      <c r="Q8" s="17">
        <v>41.0</v>
      </c>
      <c r="R8" s="18"/>
      <c r="S8" s="18"/>
      <c r="T8" s="18"/>
      <c r="U8" s="18"/>
      <c r="V8" s="17">
        <f t="shared" si="1"/>
        <v>6600</v>
      </c>
      <c r="W8" s="16" t="s">
        <v>29</v>
      </c>
      <c r="X8" s="13" t="s">
        <v>30</v>
      </c>
      <c r="Y8" s="19">
        <v>46174.0</v>
      </c>
    </row>
    <row r="9" ht="22.5" customHeight="1">
      <c r="A9" s="8">
        <v>46174.34199826389</v>
      </c>
      <c r="B9" s="9" t="s">
        <v>32</v>
      </c>
      <c r="C9" s="9" t="s">
        <v>33</v>
      </c>
      <c r="D9" s="9" t="s">
        <v>27</v>
      </c>
      <c r="E9" s="10">
        <v>8.0</v>
      </c>
      <c r="F9" s="9" t="s">
        <v>38</v>
      </c>
      <c r="G9" s="11"/>
      <c r="H9" s="11"/>
      <c r="I9" s="12"/>
      <c r="J9" s="12"/>
      <c r="K9" s="12"/>
      <c r="L9" s="12"/>
      <c r="M9" s="12"/>
      <c r="N9" s="12"/>
      <c r="O9" s="12"/>
      <c r="P9" s="12"/>
      <c r="Q9" s="10">
        <v>13.0</v>
      </c>
      <c r="R9" s="12"/>
      <c r="S9" s="10">
        <v>4.0</v>
      </c>
      <c r="T9" s="12"/>
      <c r="U9" s="12"/>
      <c r="V9" s="10">
        <f t="shared" si="1"/>
        <v>1400</v>
      </c>
      <c r="W9" s="9" t="s">
        <v>29</v>
      </c>
      <c r="X9" s="13" t="s">
        <v>30</v>
      </c>
      <c r="Y9" s="14">
        <v>46174.0</v>
      </c>
    </row>
    <row r="10" ht="22.5" customHeight="1">
      <c r="A10" s="15">
        <v>46174.342395</v>
      </c>
      <c r="B10" s="16" t="s">
        <v>32</v>
      </c>
      <c r="C10" s="16" t="s">
        <v>33</v>
      </c>
      <c r="D10" s="16" t="s">
        <v>27</v>
      </c>
      <c r="E10" s="17">
        <v>8.0</v>
      </c>
      <c r="F10" s="16" t="s">
        <v>39</v>
      </c>
      <c r="G10" s="11"/>
      <c r="H10" s="11"/>
      <c r="I10" s="17">
        <v>8.0</v>
      </c>
      <c r="J10" s="18"/>
      <c r="K10" s="18"/>
      <c r="L10" s="18"/>
      <c r="M10" s="18"/>
      <c r="N10" s="18"/>
      <c r="O10" s="18"/>
      <c r="P10" s="18"/>
      <c r="Q10" s="17">
        <v>8.0</v>
      </c>
      <c r="R10" s="18"/>
      <c r="S10" s="17">
        <v>6.0</v>
      </c>
      <c r="T10" s="18"/>
      <c r="U10" s="18"/>
      <c r="V10" s="17">
        <f t="shared" si="1"/>
        <v>4950</v>
      </c>
      <c r="W10" s="16" t="s">
        <v>29</v>
      </c>
      <c r="X10" s="13" t="s">
        <v>30</v>
      </c>
      <c r="Y10" s="19">
        <v>46174.0</v>
      </c>
    </row>
    <row r="11" ht="22.5" customHeight="1">
      <c r="A11" s="8">
        <v>46174.34273822917</v>
      </c>
      <c r="B11" s="9" t="s">
        <v>32</v>
      </c>
      <c r="C11" s="9" t="s">
        <v>33</v>
      </c>
      <c r="D11" s="9" t="s">
        <v>27</v>
      </c>
      <c r="E11" s="10">
        <v>8.0</v>
      </c>
      <c r="F11" s="9" t="s">
        <v>31</v>
      </c>
      <c r="G11" s="11"/>
      <c r="H11" s="11"/>
      <c r="I11" s="10">
        <v>14.0</v>
      </c>
      <c r="J11" s="12"/>
      <c r="K11" s="12"/>
      <c r="L11" s="12"/>
      <c r="M11" s="12"/>
      <c r="N11" s="12"/>
      <c r="O11" s="12"/>
      <c r="P11" s="12"/>
      <c r="Q11" s="12"/>
      <c r="R11" s="12"/>
      <c r="S11" s="10">
        <v>4.0</v>
      </c>
      <c r="T11" s="12"/>
      <c r="U11" s="12"/>
      <c r="V11" s="10">
        <f t="shared" si="1"/>
        <v>7100</v>
      </c>
      <c r="W11" s="9" t="s">
        <v>29</v>
      </c>
      <c r="X11" s="13" t="s">
        <v>30</v>
      </c>
      <c r="Y11" s="14">
        <v>46174.0</v>
      </c>
    </row>
    <row r="12" ht="22.5" customHeight="1">
      <c r="A12" s="15">
        <v>46174.343576099534</v>
      </c>
      <c r="B12" s="16" t="s">
        <v>32</v>
      </c>
      <c r="C12" s="16" t="s">
        <v>40</v>
      </c>
      <c r="D12" s="16" t="s">
        <v>27</v>
      </c>
      <c r="E12" s="17">
        <v>12.0</v>
      </c>
      <c r="F12" s="16" t="s">
        <v>39</v>
      </c>
      <c r="G12" s="11"/>
      <c r="H12" s="11"/>
      <c r="I12" s="18"/>
      <c r="J12" s="18"/>
      <c r="K12" s="18"/>
      <c r="L12" s="18"/>
      <c r="M12" s="18"/>
      <c r="N12" s="18"/>
      <c r="O12" s="18"/>
      <c r="P12" s="18"/>
      <c r="Q12" s="17">
        <v>35.0</v>
      </c>
      <c r="R12" s="18"/>
      <c r="S12" s="18"/>
      <c r="T12" s="18"/>
      <c r="U12" s="18"/>
      <c r="V12" s="17">
        <f t="shared" si="1"/>
        <v>3500</v>
      </c>
      <c r="W12" s="16" t="s">
        <v>29</v>
      </c>
      <c r="X12" s="13" t="s">
        <v>30</v>
      </c>
      <c r="Y12" s="19">
        <v>46174.0</v>
      </c>
    </row>
    <row r="13" ht="22.5" customHeight="1">
      <c r="A13" s="8">
        <v>46174.344884652775</v>
      </c>
      <c r="B13" s="9" t="s">
        <v>32</v>
      </c>
      <c r="C13" s="9" t="s">
        <v>41</v>
      </c>
      <c r="D13" s="9" t="s">
        <v>27</v>
      </c>
      <c r="E13" s="10">
        <v>8.0</v>
      </c>
      <c r="F13" s="9" t="s">
        <v>36</v>
      </c>
      <c r="G13" s="11"/>
      <c r="H13" s="11"/>
      <c r="I13" s="10">
        <v>20.0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0">
        <f t="shared" si="1"/>
        <v>10000</v>
      </c>
      <c r="W13" s="9" t="s">
        <v>29</v>
      </c>
      <c r="X13" s="13" t="s">
        <v>30</v>
      </c>
      <c r="Y13" s="14">
        <v>46174.0</v>
      </c>
    </row>
    <row r="14" ht="22.5" customHeight="1">
      <c r="A14" s="15">
        <v>46174.350042569444</v>
      </c>
      <c r="B14" s="16" t="s">
        <v>32</v>
      </c>
      <c r="C14" s="16" t="s">
        <v>33</v>
      </c>
      <c r="D14" s="16" t="s">
        <v>34</v>
      </c>
      <c r="E14" s="16" t="s">
        <v>42</v>
      </c>
      <c r="F14" s="16" t="s">
        <v>36</v>
      </c>
      <c r="G14" s="11"/>
      <c r="H14" s="11"/>
      <c r="I14" s="18"/>
      <c r="J14" s="18"/>
      <c r="K14" s="18"/>
      <c r="L14" s="18"/>
      <c r="M14" s="18"/>
      <c r="N14" s="18"/>
      <c r="O14" s="18"/>
      <c r="P14" s="18"/>
      <c r="Q14" s="17">
        <v>219.0</v>
      </c>
      <c r="R14" s="18"/>
      <c r="S14" s="18"/>
      <c r="T14" s="18"/>
      <c r="U14" s="18"/>
      <c r="V14" s="17">
        <f t="shared" si="1"/>
        <v>21900</v>
      </c>
      <c r="W14" s="16" t="s">
        <v>37</v>
      </c>
      <c r="X14" s="13" t="s">
        <v>30</v>
      </c>
      <c r="Y14" s="19">
        <v>46174.0</v>
      </c>
    </row>
    <row r="15" ht="22.5" customHeight="1">
      <c r="A15" s="8">
        <v>46174.35141996528</v>
      </c>
      <c r="B15" s="9" t="s">
        <v>32</v>
      </c>
      <c r="C15" s="9" t="s">
        <v>33</v>
      </c>
      <c r="D15" s="9" t="s">
        <v>27</v>
      </c>
      <c r="E15" s="10">
        <v>12.0</v>
      </c>
      <c r="F15" s="9" t="s">
        <v>36</v>
      </c>
      <c r="G15" s="11"/>
      <c r="H15" s="11"/>
      <c r="I15" s="12"/>
      <c r="J15" s="12"/>
      <c r="K15" s="12"/>
      <c r="L15" s="12"/>
      <c r="M15" s="12"/>
      <c r="N15" s="12"/>
      <c r="O15" s="12"/>
      <c r="P15" s="12"/>
      <c r="Q15" s="10">
        <v>173</v>
      </c>
      <c r="R15" s="12"/>
      <c r="S15" s="10">
        <v>11</v>
      </c>
      <c r="T15" s="12"/>
      <c r="U15" s="12"/>
      <c r="V15" s="10">
        <f t="shared" si="1"/>
        <v>17575</v>
      </c>
      <c r="W15" s="9" t="s">
        <v>29</v>
      </c>
      <c r="X15" s="13" t="s">
        <v>30</v>
      </c>
      <c r="Y15" s="14">
        <v>46174.0</v>
      </c>
    </row>
    <row r="16" ht="22.5" customHeight="1">
      <c r="A16" s="15">
        <v>46174.3534502199</v>
      </c>
      <c r="B16" s="16" t="s">
        <v>25</v>
      </c>
      <c r="C16" s="16" t="s">
        <v>26</v>
      </c>
      <c r="D16" s="16" t="s">
        <v>27</v>
      </c>
      <c r="E16" s="17">
        <v>12.0</v>
      </c>
      <c r="F16" s="16" t="s">
        <v>31</v>
      </c>
      <c r="G16" s="11"/>
      <c r="H16" s="11"/>
      <c r="I16" s="18"/>
      <c r="J16" s="18"/>
      <c r="K16" s="18"/>
      <c r="L16" s="18"/>
      <c r="M16" s="18"/>
      <c r="N16" s="18"/>
      <c r="O16" s="18"/>
      <c r="P16" s="18"/>
      <c r="Q16" s="17">
        <v>251.0</v>
      </c>
      <c r="R16" s="18"/>
      <c r="S16" s="17">
        <v>5.0</v>
      </c>
      <c r="T16" s="18"/>
      <c r="U16" s="18"/>
      <c r="V16" s="17">
        <f t="shared" si="1"/>
        <v>25225</v>
      </c>
      <c r="W16" s="16" t="s">
        <v>29</v>
      </c>
      <c r="X16" s="13" t="s">
        <v>30</v>
      </c>
      <c r="Y16" s="19">
        <v>46174.0</v>
      </c>
    </row>
    <row r="17" ht="22.5" customHeight="1">
      <c r="A17" s="8">
        <v>46174.354946064814</v>
      </c>
      <c r="B17" s="9" t="s">
        <v>25</v>
      </c>
      <c r="C17" s="9" t="s">
        <v>26</v>
      </c>
      <c r="D17" s="9" t="s">
        <v>34</v>
      </c>
      <c r="E17" s="9" t="s">
        <v>42</v>
      </c>
      <c r="F17" s="9" t="s">
        <v>36</v>
      </c>
      <c r="G17" s="11"/>
      <c r="H17" s="11"/>
      <c r="I17" s="12"/>
      <c r="J17" s="12"/>
      <c r="K17" s="12"/>
      <c r="L17" s="12"/>
      <c r="M17" s="12"/>
      <c r="N17" s="12"/>
      <c r="O17" s="12"/>
      <c r="P17" s="12"/>
      <c r="Q17" s="10">
        <v>128.0</v>
      </c>
      <c r="R17" s="12"/>
      <c r="S17" s="12"/>
      <c r="T17" s="12"/>
      <c r="U17" s="12"/>
      <c r="V17" s="10">
        <f t="shared" si="1"/>
        <v>12800</v>
      </c>
      <c r="W17" s="9" t="s">
        <v>37</v>
      </c>
      <c r="X17" s="13" t="s">
        <v>30</v>
      </c>
      <c r="Y17" s="14">
        <v>46174.0</v>
      </c>
    </row>
    <row r="18" ht="22.5" customHeight="1">
      <c r="A18" s="15">
        <v>46174.35590930555</v>
      </c>
      <c r="B18" s="16" t="s">
        <v>25</v>
      </c>
      <c r="C18" s="16" t="s">
        <v>26</v>
      </c>
      <c r="D18" s="16" t="s">
        <v>34</v>
      </c>
      <c r="E18" s="16" t="s">
        <v>35</v>
      </c>
      <c r="F18" s="16" t="s">
        <v>36</v>
      </c>
      <c r="G18" s="11"/>
      <c r="H18" s="11"/>
      <c r="I18" s="18"/>
      <c r="J18" s="18"/>
      <c r="K18" s="18"/>
      <c r="L18" s="18"/>
      <c r="M18" s="18"/>
      <c r="N18" s="18"/>
      <c r="O18" s="18"/>
      <c r="P18" s="18"/>
      <c r="Q18" s="17">
        <v>35.0</v>
      </c>
      <c r="R18" s="18"/>
      <c r="S18" s="17">
        <v>7.0</v>
      </c>
      <c r="T18" s="18"/>
      <c r="U18" s="18"/>
      <c r="V18" s="17">
        <f t="shared" si="1"/>
        <v>3675</v>
      </c>
      <c r="W18" s="16" t="s">
        <v>37</v>
      </c>
      <c r="X18" s="13" t="s">
        <v>30</v>
      </c>
      <c r="Y18" s="19">
        <v>46174.0</v>
      </c>
    </row>
    <row r="19" ht="22.5" customHeight="1">
      <c r="A19" s="8">
        <v>46174.35794408565</v>
      </c>
      <c r="B19" s="9" t="s">
        <v>32</v>
      </c>
      <c r="C19" s="9" t="s">
        <v>41</v>
      </c>
      <c r="D19" s="9" t="s">
        <v>34</v>
      </c>
      <c r="E19" s="9" t="s">
        <v>43</v>
      </c>
      <c r="F19" s="9" t="s">
        <v>36</v>
      </c>
      <c r="G19" s="11"/>
      <c r="H19" s="11"/>
      <c r="I19" s="12"/>
      <c r="J19" s="12"/>
      <c r="K19" s="10">
        <v>8.0</v>
      </c>
      <c r="L19" s="12"/>
      <c r="M19" s="12"/>
      <c r="N19" s="12"/>
      <c r="O19" s="12"/>
      <c r="P19" s="12"/>
      <c r="Q19" s="12"/>
      <c r="R19" s="12"/>
      <c r="S19" s="10">
        <v>4.0</v>
      </c>
      <c r="T19" s="12"/>
      <c r="U19" s="12"/>
      <c r="V19" s="10">
        <f t="shared" si="1"/>
        <v>2100</v>
      </c>
      <c r="W19" s="9" t="s">
        <v>37</v>
      </c>
      <c r="X19" s="13" t="s">
        <v>30</v>
      </c>
      <c r="Y19" s="14">
        <v>46174.0</v>
      </c>
    </row>
    <row r="20" ht="22.5" customHeight="1">
      <c r="A20" s="15">
        <v>46174.35864738426</v>
      </c>
      <c r="B20" s="16" t="s">
        <v>32</v>
      </c>
      <c r="C20" s="16" t="s">
        <v>41</v>
      </c>
      <c r="D20" s="16" t="s">
        <v>27</v>
      </c>
      <c r="E20" s="17">
        <v>12.0</v>
      </c>
      <c r="F20" s="16" t="s">
        <v>28</v>
      </c>
      <c r="G20" s="11"/>
      <c r="H20" s="11"/>
      <c r="I20" s="17">
        <v>10.0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7">
        <f t="shared" si="1"/>
        <v>5000</v>
      </c>
      <c r="W20" s="16" t="s">
        <v>29</v>
      </c>
      <c r="X20" s="13" t="s">
        <v>30</v>
      </c>
      <c r="Y20" s="19">
        <v>46174.0</v>
      </c>
    </row>
    <row r="21" ht="22.5" customHeight="1">
      <c r="A21" s="8">
        <v>46174.35925412037</v>
      </c>
      <c r="B21" s="9" t="s">
        <v>32</v>
      </c>
      <c r="C21" s="9" t="s">
        <v>41</v>
      </c>
      <c r="D21" s="9" t="s">
        <v>27</v>
      </c>
      <c r="E21" s="10">
        <v>12.0</v>
      </c>
      <c r="F21" s="9" t="s">
        <v>44</v>
      </c>
      <c r="G21" s="11"/>
      <c r="H21" s="11"/>
      <c r="I21" s="10">
        <v>15.0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0">
        <f t="shared" si="1"/>
        <v>7500</v>
      </c>
      <c r="W21" s="9" t="s">
        <v>29</v>
      </c>
      <c r="X21" s="13" t="s">
        <v>30</v>
      </c>
      <c r="Y21" s="14">
        <v>46174.0</v>
      </c>
    </row>
    <row r="22" ht="22.5" customHeight="1">
      <c r="A22" s="15">
        <v>46174.35983126158</v>
      </c>
      <c r="B22" s="16" t="s">
        <v>32</v>
      </c>
      <c r="C22" s="16" t="s">
        <v>41</v>
      </c>
      <c r="D22" s="16" t="s">
        <v>27</v>
      </c>
      <c r="E22" s="17">
        <v>12.0</v>
      </c>
      <c r="F22" s="16" t="s">
        <v>39</v>
      </c>
      <c r="G22" s="11"/>
      <c r="H22" s="11"/>
      <c r="I22" s="17">
        <v>25.0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7">
        <f t="shared" si="1"/>
        <v>12500</v>
      </c>
      <c r="W22" s="16" t="s">
        <v>29</v>
      </c>
      <c r="X22" s="13" t="s">
        <v>30</v>
      </c>
      <c r="Y22" s="19">
        <v>46174.0</v>
      </c>
    </row>
    <row r="23" ht="22.5" customHeight="1">
      <c r="A23" s="8">
        <v>46174.361034953705</v>
      </c>
      <c r="B23" s="9" t="s">
        <v>32</v>
      </c>
      <c r="C23" s="9" t="s">
        <v>33</v>
      </c>
      <c r="D23" s="9" t="s">
        <v>27</v>
      </c>
      <c r="E23" s="10">
        <v>12.0</v>
      </c>
      <c r="F23" s="9" t="s">
        <v>28</v>
      </c>
      <c r="G23" s="11"/>
      <c r="H23" s="11"/>
      <c r="I23" s="12"/>
      <c r="J23" s="12"/>
      <c r="K23" s="12"/>
      <c r="L23" s="12"/>
      <c r="M23" s="12"/>
      <c r="N23" s="12"/>
      <c r="O23" s="12"/>
      <c r="P23" s="12"/>
      <c r="Q23" s="10">
        <v>258.0</v>
      </c>
      <c r="R23" s="12"/>
      <c r="S23" s="10">
        <v>13.0</v>
      </c>
      <c r="T23" s="12"/>
      <c r="U23" s="12"/>
      <c r="V23" s="10">
        <f t="shared" si="1"/>
        <v>26125</v>
      </c>
      <c r="W23" s="9" t="s">
        <v>29</v>
      </c>
      <c r="X23" s="13" t="s">
        <v>30</v>
      </c>
      <c r="Y23" s="14">
        <v>46174.0</v>
      </c>
    </row>
    <row r="24" ht="22.5" customHeight="1">
      <c r="A24" s="15">
        <v>46174.36253737268</v>
      </c>
      <c r="B24" s="16" t="s">
        <v>25</v>
      </c>
      <c r="C24" s="16" t="s">
        <v>26</v>
      </c>
      <c r="D24" s="16" t="s">
        <v>27</v>
      </c>
      <c r="E24" s="17">
        <v>12.0</v>
      </c>
      <c r="F24" s="16" t="s">
        <v>28</v>
      </c>
      <c r="G24" s="11"/>
      <c r="H24" s="11"/>
      <c r="I24" s="18"/>
      <c r="J24" s="18"/>
      <c r="K24" s="18"/>
      <c r="L24" s="18"/>
      <c r="M24" s="18"/>
      <c r="N24" s="18"/>
      <c r="O24" s="18"/>
      <c r="P24" s="18"/>
      <c r="Q24" s="17">
        <v>196.0</v>
      </c>
      <c r="R24" s="18"/>
      <c r="S24" s="18"/>
      <c r="T24" s="18"/>
      <c r="U24" s="18"/>
      <c r="V24" s="17">
        <f t="shared" si="1"/>
        <v>19600</v>
      </c>
      <c r="W24" s="16" t="s">
        <v>29</v>
      </c>
      <c r="X24" s="13" t="s">
        <v>30</v>
      </c>
      <c r="Y24" s="19">
        <v>46174.0</v>
      </c>
    </row>
    <row r="25" ht="22.5" customHeight="1">
      <c r="A25" s="8">
        <v>46174.36350009259</v>
      </c>
      <c r="B25" s="9" t="s">
        <v>25</v>
      </c>
      <c r="C25" s="9" t="s">
        <v>45</v>
      </c>
      <c r="D25" s="9" t="s">
        <v>34</v>
      </c>
      <c r="E25" s="9" t="s">
        <v>46</v>
      </c>
      <c r="F25" s="9" t="s">
        <v>36</v>
      </c>
      <c r="G25" s="11"/>
      <c r="H25" s="11"/>
      <c r="I25" s="12"/>
      <c r="J25" s="12"/>
      <c r="K25" s="12"/>
      <c r="L25" s="12"/>
      <c r="M25" s="12"/>
      <c r="N25" s="12"/>
      <c r="O25" s="12"/>
      <c r="P25" s="12"/>
      <c r="Q25" s="10">
        <v>12.0</v>
      </c>
      <c r="R25" s="12"/>
      <c r="S25" s="10">
        <v>7.0</v>
      </c>
      <c r="T25" s="12"/>
      <c r="U25" s="12"/>
      <c r="V25" s="10">
        <f t="shared" si="1"/>
        <v>1375</v>
      </c>
      <c r="W25" s="9" t="s">
        <v>37</v>
      </c>
      <c r="X25" s="13" t="s">
        <v>30</v>
      </c>
      <c r="Y25" s="14">
        <v>46174.0</v>
      </c>
    </row>
    <row r="26" ht="22.5" customHeight="1">
      <c r="A26" s="15">
        <v>46174.3676075463</v>
      </c>
      <c r="B26" s="16" t="s">
        <v>32</v>
      </c>
      <c r="C26" s="16" t="s">
        <v>47</v>
      </c>
      <c r="D26" s="16" t="s">
        <v>27</v>
      </c>
      <c r="E26" s="17">
        <v>12.0</v>
      </c>
      <c r="F26" s="16" t="s">
        <v>38</v>
      </c>
      <c r="G26" s="11"/>
      <c r="H26" s="11"/>
      <c r="I26" s="18"/>
      <c r="J26" s="18"/>
      <c r="K26" s="18"/>
      <c r="L26" s="18"/>
      <c r="M26" s="18"/>
      <c r="N26" s="18"/>
      <c r="O26" s="18"/>
      <c r="P26" s="18"/>
      <c r="Q26" s="17">
        <v>4.0</v>
      </c>
      <c r="R26" s="18"/>
      <c r="S26" s="17">
        <v>6.0</v>
      </c>
      <c r="T26" s="18"/>
      <c r="U26" s="18"/>
      <c r="V26" s="17">
        <f t="shared" si="1"/>
        <v>550</v>
      </c>
      <c r="W26" s="16" t="s">
        <v>29</v>
      </c>
      <c r="X26" s="13" t="s">
        <v>30</v>
      </c>
      <c r="Y26" s="19">
        <v>46174.0</v>
      </c>
    </row>
    <row r="27" ht="22.5" customHeight="1">
      <c r="A27" s="8">
        <v>46174.3683740625</v>
      </c>
      <c r="B27" s="9" t="s">
        <v>32</v>
      </c>
      <c r="C27" s="9" t="s">
        <v>26</v>
      </c>
      <c r="D27" s="9" t="s">
        <v>27</v>
      </c>
      <c r="E27" s="10">
        <v>12.0</v>
      </c>
      <c r="F27" s="9" t="s">
        <v>44</v>
      </c>
      <c r="G27" s="11"/>
      <c r="H27" s="11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0">
        <v>8.0</v>
      </c>
      <c r="T27" s="12"/>
      <c r="U27" s="12"/>
      <c r="V27" s="10">
        <f t="shared" si="1"/>
        <v>200</v>
      </c>
      <c r="W27" s="9" t="s">
        <v>29</v>
      </c>
      <c r="X27" s="13" t="s">
        <v>30</v>
      </c>
      <c r="Y27" s="14">
        <v>46174.0</v>
      </c>
    </row>
    <row r="28" ht="22.5" customHeight="1">
      <c r="A28" s="15">
        <v>46174.369018391204</v>
      </c>
      <c r="B28" s="16" t="s">
        <v>32</v>
      </c>
      <c r="C28" s="16" t="s">
        <v>33</v>
      </c>
      <c r="D28" s="16" t="s">
        <v>27</v>
      </c>
      <c r="E28" s="17">
        <v>10.0</v>
      </c>
      <c r="F28" s="16" t="s">
        <v>28</v>
      </c>
      <c r="G28" s="11"/>
      <c r="H28" s="11"/>
      <c r="I28" s="18"/>
      <c r="J28" s="18"/>
      <c r="K28" s="18"/>
      <c r="L28" s="18"/>
      <c r="M28" s="18"/>
      <c r="N28" s="18"/>
      <c r="O28" s="18"/>
      <c r="P28" s="18"/>
      <c r="Q28" s="17">
        <v>2.0</v>
      </c>
      <c r="R28" s="18"/>
      <c r="S28" s="17">
        <v>4.0</v>
      </c>
      <c r="T28" s="18"/>
      <c r="U28" s="18"/>
      <c r="V28" s="17">
        <f t="shared" si="1"/>
        <v>300</v>
      </c>
      <c r="W28" s="16" t="s">
        <v>29</v>
      </c>
      <c r="X28" s="13" t="s">
        <v>30</v>
      </c>
      <c r="Y28" s="19">
        <v>46174.0</v>
      </c>
    </row>
    <row r="29" ht="22.5" customHeight="1">
      <c r="A29" s="8">
        <v>46174.36947662037</v>
      </c>
      <c r="B29" s="9" t="s">
        <v>32</v>
      </c>
      <c r="C29" s="9" t="s">
        <v>33</v>
      </c>
      <c r="D29" s="9" t="s">
        <v>27</v>
      </c>
      <c r="E29" s="10">
        <v>10.0</v>
      </c>
      <c r="F29" s="9" t="s">
        <v>38</v>
      </c>
      <c r="G29" s="11"/>
      <c r="H29" s="11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0">
        <v>5.0</v>
      </c>
      <c r="T29" s="12"/>
      <c r="U29" s="12"/>
      <c r="V29" s="10">
        <f t="shared" si="1"/>
        <v>125</v>
      </c>
      <c r="W29" s="9" t="s">
        <v>29</v>
      </c>
      <c r="X29" s="13" t="s">
        <v>30</v>
      </c>
      <c r="Y29" s="14">
        <v>46174.0</v>
      </c>
    </row>
    <row r="30" ht="22.5" customHeight="1">
      <c r="A30" s="20">
        <v>46175.33193118055</v>
      </c>
      <c r="B30" s="21" t="s">
        <v>25</v>
      </c>
      <c r="C30" s="21" t="s">
        <v>48</v>
      </c>
      <c r="D30" s="21" t="s">
        <v>49</v>
      </c>
      <c r="E30" s="21">
        <v>14.0</v>
      </c>
      <c r="F30" s="21" t="s">
        <v>28</v>
      </c>
      <c r="Q30" s="21">
        <v>123.0</v>
      </c>
      <c r="S30" s="21">
        <v>1.0</v>
      </c>
      <c r="V30" s="22">
        <f t="shared" si="1"/>
        <v>12325</v>
      </c>
      <c r="W30" s="21" t="s">
        <v>29</v>
      </c>
      <c r="X30" s="21" t="s">
        <v>50</v>
      </c>
      <c r="Y30" s="23">
        <v>46175.0</v>
      </c>
    </row>
    <row r="31" ht="22.5" customHeight="1">
      <c r="A31" s="20">
        <v>46175.33326056713</v>
      </c>
      <c r="B31" s="21" t="s">
        <v>25</v>
      </c>
      <c r="C31" s="21" t="s">
        <v>48</v>
      </c>
      <c r="D31" s="21" t="s">
        <v>49</v>
      </c>
      <c r="E31" s="21">
        <v>14.0</v>
      </c>
      <c r="F31" s="21" t="s">
        <v>31</v>
      </c>
      <c r="Q31" s="21">
        <v>118.0</v>
      </c>
      <c r="S31" s="21">
        <v>3.0</v>
      </c>
      <c r="V31" s="22">
        <f t="shared" si="1"/>
        <v>11875</v>
      </c>
      <c r="W31" s="21" t="s">
        <v>29</v>
      </c>
      <c r="X31" s="21" t="s">
        <v>50</v>
      </c>
      <c r="Y31" s="23">
        <v>46175.0</v>
      </c>
    </row>
    <row r="32" ht="22.5" customHeight="1">
      <c r="A32" s="20">
        <v>46175.33426916666</v>
      </c>
      <c r="B32" s="21" t="s">
        <v>32</v>
      </c>
      <c r="C32" s="21" t="s">
        <v>47</v>
      </c>
      <c r="D32" s="21" t="s">
        <v>34</v>
      </c>
      <c r="E32" s="21" t="s">
        <v>51</v>
      </c>
      <c r="F32" s="21" t="s">
        <v>36</v>
      </c>
      <c r="Q32" s="21">
        <v>54.0</v>
      </c>
      <c r="S32" s="21">
        <v>3.0</v>
      </c>
      <c r="V32" s="22">
        <f t="shared" si="1"/>
        <v>5475</v>
      </c>
      <c r="W32" s="21" t="s">
        <v>37</v>
      </c>
      <c r="X32" s="21" t="s">
        <v>52</v>
      </c>
      <c r="Y32" s="23">
        <v>46175.0</v>
      </c>
    </row>
    <row r="33" ht="22.5" customHeight="1">
      <c r="A33" s="20">
        <v>46175.33495831018</v>
      </c>
      <c r="B33" s="21" t="s">
        <v>25</v>
      </c>
      <c r="C33" s="21" t="s">
        <v>48</v>
      </c>
      <c r="D33" s="21" t="s">
        <v>34</v>
      </c>
      <c r="E33" s="21" t="s">
        <v>51</v>
      </c>
      <c r="F33" s="21" t="s">
        <v>36</v>
      </c>
      <c r="Q33" s="21">
        <v>156.0</v>
      </c>
      <c r="V33" s="22">
        <f t="shared" si="1"/>
        <v>15600</v>
      </c>
      <c r="W33" s="21" t="s">
        <v>37</v>
      </c>
      <c r="X33" s="21" t="s">
        <v>52</v>
      </c>
      <c r="Y33" s="23">
        <v>46175.0</v>
      </c>
    </row>
    <row r="34" ht="22.5" customHeight="1">
      <c r="A34" s="20">
        <v>46175.337239120374</v>
      </c>
      <c r="B34" s="21" t="s">
        <v>25</v>
      </c>
      <c r="C34" s="21" t="s">
        <v>48</v>
      </c>
      <c r="D34" s="21" t="s">
        <v>27</v>
      </c>
      <c r="E34" s="21">
        <v>10.0</v>
      </c>
      <c r="F34" s="21" t="s">
        <v>31</v>
      </c>
      <c r="Q34" s="21">
        <v>106.0</v>
      </c>
      <c r="S34" s="21">
        <v>3.0</v>
      </c>
      <c r="V34" s="22">
        <f t="shared" si="1"/>
        <v>10675</v>
      </c>
      <c r="W34" s="21" t="s">
        <v>29</v>
      </c>
      <c r="X34" s="21" t="s">
        <v>30</v>
      </c>
      <c r="Y34" s="23">
        <v>46175.0</v>
      </c>
    </row>
    <row r="35" ht="22.5" customHeight="1">
      <c r="A35" s="20">
        <v>46175.338080312504</v>
      </c>
      <c r="B35" s="21" t="s">
        <v>32</v>
      </c>
      <c r="C35" s="21" t="s">
        <v>47</v>
      </c>
      <c r="D35" s="21" t="s">
        <v>27</v>
      </c>
      <c r="E35" s="21">
        <v>10.0</v>
      </c>
      <c r="F35" s="21" t="s">
        <v>31</v>
      </c>
      <c r="Q35" s="21">
        <v>24.0</v>
      </c>
      <c r="V35" s="22">
        <f t="shared" si="1"/>
        <v>2400</v>
      </c>
      <c r="W35" s="21" t="s">
        <v>29</v>
      </c>
      <c r="X35" s="21" t="s">
        <v>30</v>
      </c>
      <c r="Y35" s="23">
        <v>46175.0</v>
      </c>
    </row>
    <row r="36" ht="22.5" customHeight="1">
      <c r="A36" s="20">
        <v>46175.33879980324</v>
      </c>
      <c r="B36" s="21" t="s">
        <v>32</v>
      </c>
      <c r="C36" s="21" t="s">
        <v>26</v>
      </c>
      <c r="D36" s="21" t="s">
        <v>27</v>
      </c>
      <c r="E36" s="21">
        <v>10.0</v>
      </c>
      <c r="F36" s="21" t="s">
        <v>31</v>
      </c>
      <c r="Q36" s="21">
        <v>79.0</v>
      </c>
      <c r="V36" s="22">
        <f t="shared" si="1"/>
        <v>7900</v>
      </c>
      <c r="W36" s="21" t="s">
        <v>29</v>
      </c>
      <c r="X36" s="21" t="s">
        <v>30</v>
      </c>
      <c r="Y36" s="23">
        <v>46175.0</v>
      </c>
    </row>
    <row r="37" ht="22.5" customHeight="1">
      <c r="A37" s="20">
        <v>46175.33994637731</v>
      </c>
      <c r="B37" s="21" t="s">
        <v>32</v>
      </c>
      <c r="C37" s="21" t="s">
        <v>47</v>
      </c>
      <c r="D37" s="21" t="s">
        <v>27</v>
      </c>
      <c r="E37" s="21">
        <v>12.0</v>
      </c>
      <c r="F37" s="21" t="s">
        <v>28</v>
      </c>
      <c r="Q37" s="21">
        <v>152.0</v>
      </c>
      <c r="V37" s="22">
        <f t="shared" si="1"/>
        <v>15200</v>
      </c>
      <c r="W37" s="21" t="s">
        <v>29</v>
      </c>
      <c r="X37" s="21" t="s">
        <v>30</v>
      </c>
      <c r="Y37" s="23">
        <v>46175.0</v>
      </c>
    </row>
    <row r="38" ht="22.5" customHeight="1">
      <c r="A38" s="20">
        <v>46175.34108912037</v>
      </c>
      <c r="B38" s="21" t="s">
        <v>32</v>
      </c>
      <c r="C38" s="21" t="s">
        <v>47</v>
      </c>
      <c r="D38" s="21" t="s">
        <v>27</v>
      </c>
      <c r="E38" s="21">
        <v>12.0</v>
      </c>
      <c r="F38" s="21" t="s">
        <v>36</v>
      </c>
      <c r="Q38" s="21">
        <v>81.0</v>
      </c>
      <c r="V38" s="22">
        <f t="shared" si="1"/>
        <v>8100</v>
      </c>
      <c r="W38" s="21" t="s">
        <v>29</v>
      </c>
      <c r="X38" s="21" t="s">
        <v>30</v>
      </c>
      <c r="Y38" s="23">
        <v>46175.0</v>
      </c>
    </row>
    <row r="39" ht="22.5" customHeight="1">
      <c r="A39" s="20">
        <v>46175.341720868055</v>
      </c>
      <c r="B39" s="21" t="s">
        <v>32</v>
      </c>
      <c r="C39" s="21" t="s">
        <v>41</v>
      </c>
      <c r="D39" s="21" t="s">
        <v>53</v>
      </c>
      <c r="E39" s="21" t="s">
        <v>54</v>
      </c>
      <c r="F39" s="21" t="s">
        <v>31</v>
      </c>
      <c r="Q39" s="21">
        <v>22.0</v>
      </c>
      <c r="V39" s="22">
        <f t="shared" si="1"/>
        <v>2200</v>
      </c>
      <c r="W39" s="21" t="s">
        <v>37</v>
      </c>
      <c r="X39" s="21" t="s">
        <v>30</v>
      </c>
      <c r="Y39" s="23">
        <v>46175.0</v>
      </c>
    </row>
    <row r="40" ht="22.5" customHeight="1">
      <c r="A40" s="20">
        <v>46175.34224644676</v>
      </c>
      <c r="B40" s="21" t="s">
        <v>32</v>
      </c>
      <c r="C40" s="21" t="s">
        <v>41</v>
      </c>
      <c r="D40" s="21" t="s">
        <v>34</v>
      </c>
      <c r="E40" s="21" t="s">
        <v>43</v>
      </c>
      <c r="F40" s="21" t="s">
        <v>36</v>
      </c>
      <c r="K40" s="21">
        <v>4.0</v>
      </c>
      <c r="V40" s="22">
        <f t="shared" si="1"/>
        <v>1000</v>
      </c>
      <c r="W40" s="21" t="s">
        <v>37</v>
      </c>
      <c r="X40" s="21" t="s">
        <v>30</v>
      </c>
      <c r="Y40" s="23">
        <v>46175.0</v>
      </c>
    </row>
    <row r="41" ht="22.5" customHeight="1">
      <c r="A41" s="20">
        <v>46175.344357974536</v>
      </c>
      <c r="B41" s="21" t="s">
        <v>32</v>
      </c>
      <c r="C41" s="21" t="s">
        <v>47</v>
      </c>
      <c r="D41" s="21" t="s">
        <v>27</v>
      </c>
      <c r="E41" s="21">
        <v>8.0</v>
      </c>
      <c r="F41" s="21" t="s">
        <v>28</v>
      </c>
      <c r="S41" s="21">
        <v>3.0</v>
      </c>
      <c r="V41" s="22">
        <f t="shared" si="1"/>
        <v>75</v>
      </c>
      <c r="W41" s="21" t="s">
        <v>29</v>
      </c>
      <c r="X41" s="21" t="s">
        <v>30</v>
      </c>
      <c r="Y41" s="23">
        <v>46175.0</v>
      </c>
    </row>
    <row r="42" ht="22.5" customHeight="1">
      <c r="A42" s="20">
        <v>46175.34612637731</v>
      </c>
      <c r="B42" s="21" t="s">
        <v>32</v>
      </c>
      <c r="C42" s="21" t="s">
        <v>47</v>
      </c>
      <c r="D42" s="21" t="s">
        <v>27</v>
      </c>
      <c r="E42" s="21">
        <v>12.0</v>
      </c>
      <c r="F42" s="21" t="s">
        <v>31</v>
      </c>
      <c r="S42" s="21">
        <v>6.0</v>
      </c>
      <c r="V42" s="22">
        <f t="shared" si="1"/>
        <v>150</v>
      </c>
      <c r="W42" s="21" t="s">
        <v>29</v>
      </c>
      <c r="X42" s="21" t="s">
        <v>30</v>
      </c>
      <c r="Y42" s="23">
        <v>46175.0</v>
      </c>
    </row>
    <row r="43" ht="22.5" customHeight="1">
      <c r="A43" s="20">
        <v>46175.346680497685</v>
      </c>
      <c r="B43" s="21" t="s">
        <v>32</v>
      </c>
      <c r="C43" s="21" t="s">
        <v>47</v>
      </c>
      <c r="D43" s="21" t="s">
        <v>27</v>
      </c>
      <c r="E43" s="21">
        <v>12.0</v>
      </c>
      <c r="F43" s="21" t="s">
        <v>38</v>
      </c>
      <c r="Q43" s="21"/>
      <c r="S43" s="21"/>
      <c r="V43" s="22">
        <f t="shared" si="1"/>
        <v>0</v>
      </c>
      <c r="W43" s="21" t="s">
        <v>29</v>
      </c>
      <c r="X43" s="21" t="s">
        <v>30</v>
      </c>
      <c r="Y43" s="23">
        <v>46175.0</v>
      </c>
    </row>
    <row r="44" ht="22.5" customHeight="1">
      <c r="A44" s="20">
        <v>46175.38307055556</v>
      </c>
      <c r="B44" s="21" t="s">
        <v>32</v>
      </c>
      <c r="C44" s="21" t="s">
        <v>47</v>
      </c>
      <c r="D44" s="21" t="s">
        <v>55</v>
      </c>
      <c r="E44" s="21">
        <v>12.0</v>
      </c>
      <c r="F44" s="21" t="s">
        <v>31</v>
      </c>
      <c r="Q44" s="21">
        <v>5.0</v>
      </c>
      <c r="S44" s="21">
        <v>4.0</v>
      </c>
      <c r="V44" s="22">
        <f t="shared" si="1"/>
        <v>600</v>
      </c>
      <c r="W44" s="21" t="s">
        <v>37</v>
      </c>
      <c r="X44" s="21" t="s">
        <v>30</v>
      </c>
      <c r="Y44" s="23">
        <v>46175.0</v>
      </c>
    </row>
    <row r="45" ht="22.5" customHeight="1">
      <c r="A45" s="20">
        <v>46175.384171770835</v>
      </c>
      <c r="B45" s="21" t="s">
        <v>32</v>
      </c>
      <c r="C45" s="21" t="s">
        <v>47</v>
      </c>
      <c r="D45" s="21" t="s">
        <v>55</v>
      </c>
      <c r="E45" s="21">
        <v>12.0</v>
      </c>
      <c r="F45" s="21" t="s">
        <v>36</v>
      </c>
      <c r="Q45" s="21">
        <v>10.0</v>
      </c>
      <c r="S45" s="21">
        <v>13.0</v>
      </c>
      <c r="V45" s="22">
        <f t="shared" si="1"/>
        <v>1325</v>
      </c>
      <c r="W45" s="21" t="s">
        <v>37</v>
      </c>
      <c r="X45" s="21" t="s">
        <v>30</v>
      </c>
      <c r="Y45" s="23">
        <v>46175.0</v>
      </c>
    </row>
    <row r="46" ht="22.5" customHeight="1">
      <c r="A46" s="20">
        <v>46175.38492505787</v>
      </c>
      <c r="B46" s="21" t="s">
        <v>32</v>
      </c>
      <c r="C46" s="21" t="s">
        <v>47</v>
      </c>
      <c r="D46" s="21" t="s">
        <v>34</v>
      </c>
      <c r="E46" s="21" t="s">
        <v>42</v>
      </c>
      <c r="F46" s="21" t="s">
        <v>36</v>
      </c>
      <c r="Q46" s="21">
        <v>14.0</v>
      </c>
      <c r="S46" s="21">
        <v>1.0</v>
      </c>
      <c r="V46" s="22">
        <f t="shared" si="1"/>
        <v>1425</v>
      </c>
      <c r="W46" s="21" t="s">
        <v>37</v>
      </c>
      <c r="X46" s="21" t="s">
        <v>30</v>
      </c>
      <c r="Y46" s="23">
        <v>46175.0</v>
      </c>
    </row>
    <row r="47" ht="22.5" customHeight="1">
      <c r="A47" s="20">
        <v>46175.38584795139</v>
      </c>
      <c r="B47" s="21" t="s">
        <v>32</v>
      </c>
      <c r="C47" s="21" t="s">
        <v>47</v>
      </c>
      <c r="D47" s="21" t="s">
        <v>27</v>
      </c>
      <c r="E47" s="21">
        <v>12.0</v>
      </c>
      <c r="F47" s="21" t="s">
        <v>36</v>
      </c>
      <c r="S47" s="21">
        <v>6.0</v>
      </c>
      <c r="V47" s="22">
        <f t="shared" si="1"/>
        <v>150</v>
      </c>
      <c r="W47" s="21" t="s">
        <v>29</v>
      </c>
      <c r="X47" s="21" t="s">
        <v>30</v>
      </c>
      <c r="Y47" s="23">
        <v>46175.0</v>
      </c>
    </row>
    <row r="48" ht="22.5" customHeight="1">
      <c r="A48" s="20">
        <v>46175.386644143524</v>
      </c>
      <c r="B48" s="21" t="s">
        <v>32</v>
      </c>
      <c r="C48" s="21" t="s">
        <v>47</v>
      </c>
      <c r="D48" s="21" t="s">
        <v>27</v>
      </c>
      <c r="E48" s="21">
        <v>8.0</v>
      </c>
      <c r="F48" s="21" t="s">
        <v>36</v>
      </c>
      <c r="Q48" s="21">
        <v>5.0</v>
      </c>
      <c r="S48" s="21">
        <v>2.0</v>
      </c>
      <c r="V48" s="22">
        <f t="shared" si="1"/>
        <v>550</v>
      </c>
      <c r="W48" s="21" t="s">
        <v>29</v>
      </c>
      <c r="X48" s="21" t="s">
        <v>30</v>
      </c>
      <c r="Y48" s="23">
        <v>46175.0</v>
      </c>
    </row>
    <row r="49" ht="22.5" customHeight="1">
      <c r="A49" s="20">
        <v>46175.38701921296</v>
      </c>
      <c r="B49" s="21" t="s">
        <v>32</v>
      </c>
      <c r="C49" s="21" t="s">
        <v>47</v>
      </c>
      <c r="D49" s="21" t="s">
        <v>27</v>
      </c>
      <c r="E49" s="21">
        <v>8.0</v>
      </c>
      <c r="F49" s="21" t="s">
        <v>31</v>
      </c>
      <c r="Q49" s="21">
        <v>2.0</v>
      </c>
      <c r="V49" s="22">
        <f t="shared" si="1"/>
        <v>200</v>
      </c>
      <c r="W49" s="21" t="s">
        <v>29</v>
      </c>
      <c r="X49" s="21" t="s">
        <v>30</v>
      </c>
      <c r="Y49" s="23">
        <v>46175.0</v>
      </c>
    </row>
    <row r="50" ht="22.5" customHeight="1">
      <c r="A50" s="20">
        <v>46175.420146041666</v>
      </c>
      <c r="B50" s="21" t="s">
        <v>32</v>
      </c>
      <c r="C50" s="21" t="s">
        <v>47</v>
      </c>
      <c r="D50" s="21" t="s">
        <v>34</v>
      </c>
      <c r="E50" s="21" t="s">
        <v>35</v>
      </c>
      <c r="F50" s="21" t="s">
        <v>36</v>
      </c>
      <c r="Q50" s="21">
        <v>5.0</v>
      </c>
      <c r="S50" s="21">
        <v>23.0</v>
      </c>
      <c r="V50" s="22">
        <f t="shared" si="1"/>
        <v>1075</v>
      </c>
      <c r="W50" s="21" t="s">
        <v>37</v>
      </c>
      <c r="X50" s="21" t="s">
        <v>30</v>
      </c>
      <c r="Y50" s="23">
        <v>46175.0</v>
      </c>
    </row>
    <row r="51" ht="22.5" customHeight="1">
      <c r="A51" s="20">
        <v>46175.42104721065</v>
      </c>
      <c r="B51" s="21" t="s">
        <v>32</v>
      </c>
      <c r="C51" s="21" t="s">
        <v>47</v>
      </c>
      <c r="D51" s="21" t="s">
        <v>27</v>
      </c>
      <c r="E51" s="21">
        <v>12.0</v>
      </c>
      <c r="F51" s="21" t="s">
        <v>39</v>
      </c>
      <c r="Q51" s="21">
        <v>5.0</v>
      </c>
      <c r="S51" s="21">
        <v>5.0</v>
      </c>
      <c r="V51" s="22">
        <f t="shared" si="1"/>
        <v>625</v>
      </c>
      <c r="W51" s="21" t="s">
        <v>29</v>
      </c>
      <c r="X51" s="21" t="s">
        <v>30</v>
      </c>
      <c r="Y51" s="23">
        <v>46175.0</v>
      </c>
    </row>
    <row r="52" ht="22.5" customHeight="1">
      <c r="A52" s="20">
        <v>46175.421697337966</v>
      </c>
      <c r="B52" s="21" t="s">
        <v>32</v>
      </c>
      <c r="C52" s="21" t="s">
        <v>47</v>
      </c>
      <c r="D52" s="21" t="s">
        <v>27</v>
      </c>
      <c r="E52" s="21">
        <v>12.0</v>
      </c>
      <c r="F52" s="21" t="s">
        <v>28</v>
      </c>
      <c r="Q52" s="21">
        <v>5.0</v>
      </c>
      <c r="S52" s="21">
        <v>12.0</v>
      </c>
      <c r="V52" s="22">
        <f t="shared" si="1"/>
        <v>800</v>
      </c>
      <c r="W52" s="21" t="s">
        <v>29</v>
      </c>
      <c r="X52" s="21" t="s">
        <v>30</v>
      </c>
      <c r="Y52" s="23">
        <v>46175.0</v>
      </c>
    </row>
    <row r="53" ht="22.5" customHeight="1">
      <c r="A53" s="20">
        <v>46175.42239561342</v>
      </c>
      <c r="B53" s="21" t="s">
        <v>32</v>
      </c>
      <c r="C53" s="21" t="s">
        <v>47</v>
      </c>
      <c r="D53" s="21" t="s">
        <v>55</v>
      </c>
      <c r="E53" s="21">
        <v>12.0</v>
      </c>
      <c r="F53" s="21" t="s">
        <v>44</v>
      </c>
      <c r="Q53" s="21">
        <v>10.0</v>
      </c>
      <c r="V53" s="22">
        <f t="shared" si="1"/>
        <v>1000</v>
      </c>
      <c r="W53" s="21" t="s">
        <v>37</v>
      </c>
      <c r="X53" s="21" t="s">
        <v>30</v>
      </c>
      <c r="Y53" s="23">
        <v>46175.0</v>
      </c>
    </row>
    <row r="54" ht="22.5" customHeight="1">
      <c r="A54" s="20">
        <v>46175.42336421296</v>
      </c>
      <c r="B54" s="21" t="s">
        <v>32</v>
      </c>
      <c r="C54" s="21" t="s">
        <v>47</v>
      </c>
      <c r="D54" s="21" t="s">
        <v>27</v>
      </c>
      <c r="E54" s="21">
        <v>12.0</v>
      </c>
      <c r="F54" s="21" t="s">
        <v>36</v>
      </c>
      <c r="Q54" s="21">
        <v>5.0</v>
      </c>
      <c r="V54" s="22">
        <f t="shared" si="1"/>
        <v>500</v>
      </c>
      <c r="W54" s="21" t="s">
        <v>29</v>
      </c>
      <c r="X54" s="21" t="s">
        <v>30</v>
      </c>
      <c r="Y54" s="23">
        <v>46175.0</v>
      </c>
    </row>
    <row r="55" ht="22.5" customHeight="1">
      <c r="A55" s="20">
        <v>46175.42389236111</v>
      </c>
      <c r="B55" s="21" t="s">
        <v>32</v>
      </c>
      <c r="C55" s="21" t="s">
        <v>47</v>
      </c>
      <c r="D55" s="21" t="s">
        <v>27</v>
      </c>
      <c r="E55" s="21">
        <v>12.0</v>
      </c>
      <c r="F55" s="21" t="s">
        <v>36</v>
      </c>
      <c r="S55" s="21">
        <v>9.0</v>
      </c>
      <c r="V55" s="22">
        <f t="shared" si="1"/>
        <v>225</v>
      </c>
      <c r="W55" s="21" t="s">
        <v>29</v>
      </c>
      <c r="X55" s="21" t="s">
        <v>30</v>
      </c>
      <c r="Y55" s="23">
        <v>46175.0</v>
      </c>
    </row>
    <row r="56" ht="22.5" customHeight="1">
      <c r="A56" s="20">
        <v>46175.42458719907</v>
      </c>
      <c r="B56" s="21" t="s">
        <v>32</v>
      </c>
      <c r="C56" s="21" t="s">
        <v>47</v>
      </c>
      <c r="D56" s="21" t="s">
        <v>27</v>
      </c>
      <c r="E56" s="21">
        <v>12.0</v>
      </c>
      <c r="F56" s="21" t="s">
        <v>31</v>
      </c>
      <c r="Q56" s="21">
        <v>3.0</v>
      </c>
      <c r="S56" s="21">
        <v>17.0</v>
      </c>
      <c r="V56" s="22">
        <f t="shared" si="1"/>
        <v>725</v>
      </c>
      <c r="W56" s="21" t="s">
        <v>29</v>
      </c>
      <c r="X56" s="21" t="s">
        <v>30</v>
      </c>
      <c r="Y56" s="23">
        <v>46175.0</v>
      </c>
    </row>
    <row r="57" ht="22.5" customHeight="1">
      <c r="A57" s="20">
        <v>46175.4259509838</v>
      </c>
      <c r="B57" s="21" t="s">
        <v>32</v>
      </c>
      <c r="C57" s="21" t="s">
        <v>47</v>
      </c>
      <c r="D57" s="21" t="s">
        <v>55</v>
      </c>
      <c r="E57" s="21">
        <v>12.0</v>
      </c>
      <c r="F57" s="21" t="s">
        <v>31</v>
      </c>
      <c r="Q57" s="21">
        <v>3.0</v>
      </c>
      <c r="V57" s="22">
        <f t="shared" si="1"/>
        <v>300</v>
      </c>
      <c r="W57" s="21" t="s">
        <v>37</v>
      </c>
      <c r="X57" s="21" t="s">
        <v>30</v>
      </c>
      <c r="Y57" s="23">
        <v>46175.0</v>
      </c>
    </row>
    <row r="58" ht="22.5" customHeight="1">
      <c r="A58" s="20">
        <v>46175.42696454861</v>
      </c>
      <c r="B58" s="21" t="s">
        <v>32</v>
      </c>
      <c r="C58" s="21" t="s">
        <v>56</v>
      </c>
      <c r="D58" s="21" t="s">
        <v>27</v>
      </c>
      <c r="E58" s="21">
        <v>8.0</v>
      </c>
      <c r="F58" s="21" t="s">
        <v>31</v>
      </c>
      <c r="Q58" s="21">
        <v>5.0</v>
      </c>
      <c r="S58" s="21">
        <v>3.0</v>
      </c>
      <c r="V58" s="22">
        <f t="shared" si="1"/>
        <v>575</v>
      </c>
      <c r="W58" s="21" t="s">
        <v>29</v>
      </c>
      <c r="X58" s="21" t="s">
        <v>30</v>
      </c>
      <c r="Y58" s="23">
        <v>46175.0</v>
      </c>
    </row>
    <row r="59" ht="22.5" customHeight="1">
      <c r="A59" s="20">
        <v>46175.42772423611</v>
      </c>
      <c r="B59" s="21" t="s">
        <v>32</v>
      </c>
      <c r="C59" s="21" t="s">
        <v>47</v>
      </c>
      <c r="D59" s="21" t="s">
        <v>55</v>
      </c>
      <c r="E59" s="21">
        <v>10.0</v>
      </c>
      <c r="F59" s="21" t="s">
        <v>31</v>
      </c>
      <c r="Q59" s="21">
        <v>6.0</v>
      </c>
      <c r="V59" s="22">
        <f t="shared" si="1"/>
        <v>600</v>
      </c>
      <c r="W59" s="21" t="s">
        <v>37</v>
      </c>
      <c r="X59" s="21" t="s">
        <v>30</v>
      </c>
      <c r="Y59" s="23">
        <v>46175.0</v>
      </c>
    </row>
    <row r="60" ht="22.5" customHeight="1">
      <c r="A60" s="20">
        <v>46175.42840878472</v>
      </c>
      <c r="B60" s="21" t="s">
        <v>32</v>
      </c>
      <c r="C60" s="21" t="s">
        <v>47</v>
      </c>
      <c r="D60" s="21" t="s">
        <v>27</v>
      </c>
      <c r="E60" s="21">
        <v>10.0</v>
      </c>
      <c r="F60" s="21" t="s">
        <v>31</v>
      </c>
      <c r="V60" s="22">
        <f t="shared" si="1"/>
        <v>0</v>
      </c>
      <c r="W60" s="21" t="s">
        <v>29</v>
      </c>
      <c r="X60" s="21" t="s">
        <v>30</v>
      </c>
      <c r="Y60" s="23">
        <v>46175.0</v>
      </c>
    </row>
    <row r="61" ht="22.5" customHeight="1">
      <c r="A61" s="20">
        <v>46175.4292844213</v>
      </c>
      <c r="B61" s="21" t="s">
        <v>32</v>
      </c>
      <c r="C61" s="21" t="s">
        <v>47</v>
      </c>
      <c r="D61" s="21" t="s">
        <v>34</v>
      </c>
      <c r="E61" s="21" t="s">
        <v>46</v>
      </c>
      <c r="F61" s="21" t="s">
        <v>36</v>
      </c>
      <c r="Q61" s="21">
        <v>2.0</v>
      </c>
      <c r="S61" s="21">
        <v>3.0</v>
      </c>
      <c r="V61" s="22">
        <f t="shared" si="1"/>
        <v>275</v>
      </c>
      <c r="W61" s="21" t="s">
        <v>37</v>
      </c>
      <c r="X61" s="21" t="s">
        <v>30</v>
      </c>
      <c r="Y61" s="23">
        <v>46175.0</v>
      </c>
    </row>
    <row r="62" ht="22.5" customHeight="1">
      <c r="A62" s="20">
        <v>46175.42982576389</v>
      </c>
      <c r="B62" s="21" t="s">
        <v>32</v>
      </c>
      <c r="C62" s="21" t="s">
        <v>47</v>
      </c>
      <c r="D62" s="21" t="s">
        <v>34</v>
      </c>
      <c r="E62" s="21" t="s">
        <v>43</v>
      </c>
      <c r="F62" s="21" t="s">
        <v>36</v>
      </c>
      <c r="Q62" s="21">
        <v>1.0</v>
      </c>
      <c r="S62" s="21">
        <v>8.0</v>
      </c>
      <c r="V62" s="22">
        <f t="shared" si="1"/>
        <v>300</v>
      </c>
      <c r="W62" s="21" t="s">
        <v>37</v>
      </c>
      <c r="X62" s="21" t="s">
        <v>30</v>
      </c>
      <c r="Y62" s="23">
        <v>46175.0</v>
      </c>
    </row>
    <row r="63" ht="22.5" customHeight="1">
      <c r="A63" s="20">
        <v>46175.43061039352</v>
      </c>
      <c r="B63" s="21" t="s">
        <v>32</v>
      </c>
      <c r="C63" s="21" t="s">
        <v>47</v>
      </c>
      <c r="D63" s="21" t="s">
        <v>34</v>
      </c>
      <c r="E63" s="21" t="s">
        <v>42</v>
      </c>
      <c r="F63" s="21" t="s">
        <v>36</v>
      </c>
      <c r="Q63" s="21">
        <v>1.0</v>
      </c>
      <c r="S63" s="21">
        <v>15.0</v>
      </c>
      <c r="V63" s="22">
        <f t="shared" si="1"/>
        <v>475</v>
      </c>
      <c r="W63" s="21" t="s">
        <v>37</v>
      </c>
      <c r="X63" s="21" t="s">
        <v>30</v>
      </c>
      <c r="Y63" s="23">
        <v>46175.0</v>
      </c>
    </row>
    <row r="64" ht="22.5" customHeight="1">
      <c r="A64" s="20">
        <v>46175.43108606481</v>
      </c>
      <c r="B64" s="21" t="s">
        <v>32</v>
      </c>
      <c r="C64" s="21" t="s">
        <v>47</v>
      </c>
      <c r="D64" s="21" t="s">
        <v>27</v>
      </c>
      <c r="E64" s="21">
        <v>8.0</v>
      </c>
      <c r="F64" s="21" t="s">
        <v>36</v>
      </c>
      <c r="Q64" s="21">
        <v>4.0</v>
      </c>
      <c r="S64" s="21">
        <v>5.0</v>
      </c>
      <c r="V64" s="22">
        <f t="shared" si="1"/>
        <v>525</v>
      </c>
      <c r="W64" s="21" t="s">
        <v>29</v>
      </c>
      <c r="X64" s="21" t="s">
        <v>30</v>
      </c>
      <c r="Y64" s="23">
        <v>46175.0</v>
      </c>
    </row>
    <row r="65" ht="22.5" customHeight="1">
      <c r="A65" s="20">
        <v>46175.43156240741</v>
      </c>
      <c r="B65" s="21" t="s">
        <v>32</v>
      </c>
      <c r="C65" s="21" t="s">
        <v>47</v>
      </c>
      <c r="D65" s="21" t="s">
        <v>27</v>
      </c>
      <c r="E65" s="21">
        <v>8.0</v>
      </c>
      <c r="F65" s="21" t="s">
        <v>28</v>
      </c>
      <c r="S65" s="21">
        <v>2.0</v>
      </c>
      <c r="V65" s="22">
        <f t="shared" si="1"/>
        <v>50</v>
      </c>
      <c r="W65" s="21" t="s">
        <v>29</v>
      </c>
      <c r="X65" s="21" t="s">
        <v>30</v>
      </c>
      <c r="Y65" s="23">
        <v>46175.0</v>
      </c>
    </row>
    <row r="66" ht="22.5" customHeight="1">
      <c r="A66" s="20">
        <v>46175.43205699074</v>
      </c>
      <c r="B66" s="21" t="s">
        <v>32</v>
      </c>
      <c r="C66" s="21" t="s">
        <v>47</v>
      </c>
      <c r="D66" s="21" t="s">
        <v>55</v>
      </c>
      <c r="E66" s="21">
        <v>14.0</v>
      </c>
      <c r="F66" s="21" t="s">
        <v>36</v>
      </c>
      <c r="S66" s="21">
        <v>6.0</v>
      </c>
      <c r="V66" s="22">
        <f t="shared" si="1"/>
        <v>150</v>
      </c>
      <c r="W66" s="21" t="s">
        <v>37</v>
      </c>
      <c r="X66" s="21" t="s">
        <v>30</v>
      </c>
      <c r="Y66" s="23">
        <v>46175.0</v>
      </c>
    </row>
    <row r="67" ht="22.5" customHeight="1">
      <c r="A67" s="20">
        <v>46175.43263413194</v>
      </c>
      <c r="B67" s="21" t="s">
        <v>32</v>
      </c>
      <c r="C67" s="21" t="s">
        <v>47</v>
      </c>
      <c r="D67" s="21" t="s">
        <v>27</v>
      </c>
      <c r="E67" s="21">
        <v>12.0</v>
      </c>
      <c r="F67" s="21" t="s">
        <v>39</v>
      </c>
      <c r="I67" s="21">
        <v>7.0</v>
      </c>
      <c r="Q67" s="21">
        <v>3.0</v>
      </c>
      <c r="S67" s="21">
        <v>4.0</v>
      </c>
      <c r="V67" s="22">
        <f t="shared" si="1"/>
        <v>3900</v>
      </c>
      <c r="W67" s="21" t="s">
        <v>29</v>
      </c>
      <c r="X67" s="21" t="s">
        <v>30</v>
      </c>
      <c r="Y67" s="23">
        <v>46175.0</v>
      </c>
    </row>
    <row r="68" ht="22.5" customHeight="1">
      <c r="A68" s="20">
        <v>46175.43422135417</v>
      </c>
      <c r="B68" s="21" t="s">
        <v>32</v>
      </c>
      <c r="C68" s="21" t="s">
        <v>41</v>
      </c>
      <c r="D68" s="21" t="s">
        <v>53</v>
      </c>
      <c r="E68" s="21" t="s">
        <v>54</v>
      </c>
      <c r="F68" s="21" t="s">
        <v>31</v>
      </c>
      <c r="Q68" s="21">
        <v>37.0</v>
      </c>
      <c r="S68" s="21">
        <v>4.0</v>
      </c>
      <c r="V68" s="22">
        <f t="shared" si="1"/>
        <v>3800</v>
      </c>
      <c r="W68" s="21" t="s">
        <v>37</v>
      </c>
      <c r="X68" s="21" t="s">
        <v>30</v>
      </c>
      <c r="Y68" s="23">
        <v>46175.0</v>
      </c>
    </row>
    <row r="69" ht="22.5" customHeight="1">
      <c r="A69" s="20">
        <v>46176.32057952546</v>
      </c>
      <c r="B69" s="21" t="s">
        <v>32</v>
      </c>
      <c r="C69" s="21" t="s">
        <v>47</v>
      </c>
      <c r="D69" s="21" t="s">
        <v>34</v>
      </c>
      <c r="E69" s="21" t="s">
        <v>51</v>
      </c>
      <c r="F69" s="21" t="s">
        <v>36</v>
      </c>
      <c r="Q69" s="21">
        <v>147.0</v>
      </c>
      <c r="S69" s="21">
        <v>8.0</v>
      </c>
      <c r="V69" s="22">
        <f t="shared" si="1"/>
        <v>14900</v>
      </c>
      <c r="W69" s="21" t="s">
        <v>37</v>
      </c>
      <c r="X69" s="21" t="s">
        <v>52</v>
      </c>
      <c r="Y69" s="23">
        <v>46176.0</v>
      </c>
    </row>
    <row r="70" ht="22.5" customHeight="1">
      <c r="A70" s="20">
        <v>46176.32301155092</v>
      </c>
      <c r="B70" s="21" t="s">
        <v>32</v>
      </c>
      <c r="C70" s="21" t="s">
        <v>47</v>
      </c>
      <c r="D70" s="21" t="s">
        <v>49</v>
      </c>
      <c r="E70" s="21">
        <v>14.0</v>
      </c>
      <c r="F70" s="21" t="s">
        <v>36</v>
      </c>
      <c r="Q70" s="21">
        <v>360.0</v>
      </c>
      <c r="S70" s="21">
        <v>6.0</v>
      </c>
      <c r="V70" s="22">
        <f t="shared" si="1"/>
        <v>36150</v>
      </c>
      <c r="W70" s="21" t="s">
        <v>29</v>
      </c>
      <c r="X70" s="21" t="s">
        <v>50</v>
      </c>
      <c r="Y70" s="23">
        <v>46176.0</v>
      </c>
    </row>
    <row r="71" ht="22.5" customHeight="1">
      <c r="A71" s="20">
        <v>46176.32575193287</v>
      </c>
      <c r="B71" s="21" t="s">
        <v>32</v>
      </c>
      <c r="C71" s="21" t="s">
        <v>57</v>
      </c>
      <c r="D71" s="21" t="s">
        <v>27</v>
      </c>
      <c r="E71" s="21">
        <v>12.0</v>
      </c>
      <c r="F71" s="21" t="s">
        <v>36</v>
      </c>
      <c r="I71" s="21">
        <v>19.0</v>
      </c>
      <c r="Q71" s="21">
        <v>4.0</v>
      </c>
      <c r="S71" s="21">
        <v>6.0</v>
      </c>
      <c r="V71" s="22">
        <f t="shared" si="1"/>
        <v>10050</v>
      </c>
      <c r="W71" s="21" t="s">
        <v>29</v>
      </c>
      <c r="X71" s="21" t="s">
        <v>30</v>
      </c>
      <c r="Y71" s="23">
        <v>46176.0</v>
      </c>
    </row>
    <row r="72" ht="22.5" customHeight="1">
      <c r="A72" s="20">
        <v>46176.32705040509</v>
      </c>
      <c r="B72" s="21" t="s">
        <v>32</v>
      </c>
      <c r="C72" s="21" t="s">
        <v>57</v>
      </c>
      <c r="D72" s="21" t="s">
        <v>27</v>
      </c>
      <c r="E72" s="21">
        <v>8.0</v>
      </c>
      <c r="F72" s="21" t="s">
        <v>31</v>
      </c>
      <c r="I72" s="21">
        <v>5.0</v>
      </c>
      <c r="Q72" s="21">
        <v>2.0</v>
      </c>
      <c r="S72" s="21">
        <v>3.0</v>
      </c>
      <c r="V72" s="22">
        <f t="shared" si="1"/>
        <v>2775</v>
      </c>
      <c r="W72" s="21" t="s">
        <v>29</v>
      </c>
      <c r="X72" s="21" t="s">
        <v>30</v>
      </c>
      <c r="Y72" s="23">
        <v>46176.0</v>
      </c>
    </row>
    <row r="73" ht="22.5" customHeight="1">
      <c r="A73" s="20">
        <v>46176.32915255787</v>
      </c>
      <c r="B73" s="21" t="s">
        <v>32</v>
      </c>
      <c r="C73" s="21" t="s">
        <v>47</v>
      </c>
      <c r="D73" s="21" t="s">
        <v>27</v>
      </c>
      <c r="E73" s="21">
        <v>8.0</v>
      </c>
      <c r="F73" s="21" t="s">
        <v>36</v>
      </c>
      <c r="Q73" s="21">
        <v>47.0</v>
      </c>
      <c r="S73" s="21">
        <v>7.0</v>
      </c>
      <c r="V73" s="22">
        <f t="shared" si="1"/>
        <v>4875</v>
      </c>
      <c r="W73" s="21" t="s">
        <v>29</v>
      </c>
      <c r="X73" s="21" t="s">
        <v>58</v>
      </c>
      <c r="Y73" s="23">
        <v>46176.0</v>
      </c>
    </row>
    <row r="74" ht="22.5" customHeight="1">
      <c r="A74" s="20">
        <v>46176.32999962963</v>
      </c>
      <c r="B74" s="21" t="s">
        <v>25</v>
      </c>
      <c r="C74" s="21" t="s">
        <v>48</v>
      </c>
      <c r="D74" s="21" t="s">
        <v>27</v>
      </c>
      <c r="E74" s="21">
        <v>10.0</v>
      </c>
      <c r="F74" s="21" t="s">
        <v>36</v>
      </c>
      <c r="Q74" s="21">
        <v>101.0</v>
      </c>
      <c r="V74" s="22">
        <f t="shared" si="1"/>
        <v>10100</v>
      </c>
      <c r="W74" s="21" t="s">
        <v>29</v>
      </c>
      <c r="X74" s="21" t="s">
        <v>59</v>
      </c>
      <c r="Y74" s="23">
        <v>46176.0</v>
      </c>
    </row>
    <row r="75" ht="22.5" customHeight="1">
      <c r="A75" s="20">
        <v>46176.33161054398</v>
      </c>
      <c r="B75" s="21" t="s">
        <v>25</v>
      </c>
      <c r="C75" s="21" t="s">
        <v>48</v>
      </c>
      <c r="D75" s="21" t="s">
        <v>49</v>
      </c>
      <c r="E75" s="21">
        <v>14.0</v>
      </c>
      <c r="F75" s="21" t="s">
        <v>44</v>
      </c>
      <c r="Q75" s="21">
        <v>102.0</v>
      </c>
      <c r="S75" s="21">
        <v>1.0</v>
      </c>
      <c r="V75" s="22">
        <f t="shared" si="1"/>
        <v>10225</v>
      </c>
      <c r="W75" s="21" t="s">
        <v>29</v>
      </c>
      <c r="X75" s="21" t="s">
        <v>50</v>
      </c>
      <c r="Y75" s="23">
        <v>46176.0</v>
      </c>
    </row>
    <row r="76" ht="22.5" customHeight="1">
      <c r="A76" s="20">
        <v>46176.332798240735</v>
      </c>
      <c r="B76" s="21" t="s">
        <v>25</v>
      </c>
      <c r="C76" s="21" t="s">
        <v>48</v>
      </c>
      <c r="D76" s="21" t="s">
        <v>27</v>
      </c>
      <c r="E76" s="21">
        <v>10.0</v>
      </c>
      <c r="F76" s="21" t="s">
        <v>44</v>
      </c>
      <c r="Q76" s="21">
        <v>48.0</v>
      </c>
      <c r="S76" s="21">
        <v>3.0</v>
      </c>
      <c r="V76" s="22">
        <f t="shared" si="1"/>
        <v>4875</v>
      </c>
      <c r="W76" s="21" t="s">
        <v>29</v>
      </c>
      <c r="X76" s="21" t="s">
        <v>59</v>
      </c>
      <c r="Y76" s="23">
        <v>46176.0</v>
      </c>
    </row>
    <row r="77" ht="22.5" customHeight="1">
      <c r="A77" s="20">
        <v>46176.33385744213</v>
      </c>
      <c r="B77" s="21" t="s">
        <v>25</v>
      </c>
      <c r="C77" s="21" t="s">
        <v>48</v>
      </c>
      <c r="D77" s="21" t="s">
        <v>34</v>
      </c>
      <c r="E77" s="21" t="s">
        <v>51</v>
      </c>
      <c r="F77" s="21" t="s">
        <v>36</v>
      </c>
      <c r="Q77" s="21">
        <v>154.0</v>
      </c>
      <c r="S77" s="21">
        <v>1.0</v>
      </c>
      <c r="V77" s="22">
        <f t="shared" si="1"/>
        <v>15425</v>
      </c>
      <c r="W77" s="21" t="s">
        <v>37</v>
      </c>
      <c r="X77" s="21" t="s">
        <v>52</v>
      </c>
      <c r="Y77" s="23">
        <v>46176.0</v>
      </c>
    </row>
    <row r="78" ht="22.5" customHeight="1">
      <c r="A78" s="20">
        <v>46176.33521333333</v>
      </c>
      <c r="B78" s="21" t="s">
        <v>25</v>
      </c>
      <c r="C78" s="21" t="s">
        <v>48</v>
      </c>
      <c r="D78" s="21" t="s">
        <v>49</v>
      </c>
      <c r="E78" s="21">
        <v>14.0</v>
      </c>
      <c r="F78" s="21" t="s">
        <v>38</v>
      </c>
      <c r="Q78" s="21">
        <v>153.0</v>
      </c>
      <c r="S78" s="21">
        <v>3.0</v>
      </c>
      <c r="V78" s="22">
        <f t="shared" si="1"/>
        <v>15375</v>
      </c>
      <c r="W78" s="21" t="s">
        <v>29</v>
      </c>
      <c r="X78" s="21" t="s">
        <v>50</v>
      </c>
      <c r="Y78" s="23">
        <v>46176.0</v>
      </c>
    </row>
    <row r="79" ht="22.5" customHeight="1">
      <c r="A79" s="20">
        <v>46177.333550358795</v>
      </c>
      <c r="B79" s="21" t="s">
        <v>32</v>
      </c>
      <c r="C79" s="21" t="s">
        <v>57</v>
      </c>
      <c r="D79" s="21" t="s">
        <v>55</v>
      </c>
      <c r="E79" s="21">
        <v>14.0</v>
      </c>
      <c r="F79" s="21" t="s">
        <v>36</v>
      </c>
      <c r="I79" s="21">
        <v>3.0</v>
      </c>
      <c r="V79" s="22">
        <f t="shared" si="1"/>
        <v>1500</v>
      </c>
      <c r="W79" s="21" t="s">
        <v>37</v>
      </c>
      <c r="X79" s="21" t="s">
        <v>30</v>
      </c>
      <c r="Y79" s="23">
        <v>46177.0</v>
      </c>
    </row>
    <row r="80" ht="22.5" customHeight="1">
      <c r="A80" s="20">
        <v>46177.333916874995</v>
      </c>
      <c r="B80" s="21" t="s">
        <v>32</v>
      </c>
      <c r="C80" s="21" t="s">
        <v>57</v>
      </c>
      <c r="D80" s="21" t="s">
        <v>55</v>
      </c>
      <c r="E80" s="21">
        <v>14.0</v>
      </c>
      <c r="F80" s="21" t="s">
        <v>28</v>
      </c>
      <c r="I80" s="21">
        <v>2.0</v>
      </c>
      <c r="V80" s="22">
        <f t="shared" si="1"/>
        <v>1000</v>
      </c>
      <c r="W80" s="21" t="s">
        <v>37</v>
      </c>
      <c r="X80" s="21" t="s">
        <v>30</v>
      </c>
      <c r="Y80" s="23">
        <v>46177.0</v>
      </c>
    </row>
    <row r="81" ht="22.5" customHeight="1">
      <c r="A81" s="20">
        <v>46177.3354359375</v>
      </c>
      <c r="B81" s="21" t="s">
        <v>32</v>
      </c>
      <c r="C81" s="21" t="s">
        <v>47</v>
      </c>
      <c r="D81" s="21" t="s">
        <v>34</v>
      </c>
      <c r="E81" s="21" t="s">
        <v>51</v>
      </c>
      <c r="F81" s="21" t="s">
        <v>36</v>
      </c>
      <c r="Q81" s="21">
        <f>150+154</f>
        <v>304</v>
      </c>
      <c r="S81" s="21">
        <f>7+2</f>
        <v>9</v>
      </c>
      <c r="V81" s="22">
        <f t="shared" si="1"/>
        <v>30625</v>
      </c>
      <c r="W81" s="21" t="s">
        <v>37</v>
      </c>
      <c r="X81" s="21" t="s">
        <v>52</v>
      </c>
      <c r="Y81" s="23">
        <v>46177.0</v>
      </c>
    </row>
    <row r="82" ht="22.5" customHeight="1">
      <c r="A82" s="20">
        <v>46177.33645696759</v>
      </c>
      <c r="B82" s="21" t="s">
        <v>32</v>
      </c>
      <c r="C82" s="21" t="s">
        <v>47</v>
      </c>
      <c r="D82" s="21" t="s">
        <v>49</v>
      </c>
      <c r="E82" s="21">
        <v>14.0</v>
      </c>
      <c r="F82" s="21" t="s">
        <v>28</v>
      </c>
      <c r="Q82" s="21">
        <v>90.0</v>
      </c>
      <c r="S82" s="21">
        <v>5.0</v>
      </c>
      <c r="V82" s="22">
        <f t="shared" si="1"/>
        <v>9125</v>
      </c>
      <c r="W82" s="21" t="s">
        <v>29</v>
      </c>
      <c r="X82" s="21" t="s">
        <v>50</v>
      </c>
      <c r="Y82" s="23">
        <v>46177.0</v>
      </c>
    </row>
    <row r="83" ht="22.5" customHeight="1">
      <c r="A83" s="20">
        <v>46177.337403784724</v>
      </c>
      <c r="B83" s="21" t="s">
        <v>32</v>
      </c>
      <c r="C83" s="21" t="s">
        <v>57</v>
      </c>
      <c r="D83" s="21" t="s">
        <v>60</v>
      </c>
      <c r="E83" s="21" t="s">
        <v>42</v>
      </c>
      <c r="F83" s="21" t="s">
        <v>31</v>
      </c>
      <c r="Q83" s="21">
        <v>42.0</v>
      </c>
      <c r="S83" s="21">
        <v>7.0</v>
      </c>
      <c r="V83" s="22">
        <f t="shared" si="1"/>
        <v>4375</v>
      </c>
      <c r="W83" s="21" t="s">
        <v>29</v>
      </c>
      <c r="X83" s="21" t="s">
        <v>30</v>
      </c>
      <c r="Y83" s="23">
        <v>46177.0</v>
      </c>
    </row>
    <row r="84" ht="22.5" customHeight="1">
      <c r="A84" s="20">
        <v>46177.33811002315</v>
      </c>
      <c r="B84" s="21" t="s">
        <v>25</v>
      </c>
      <c r="C84" s="21" t="s">
        <v>48</v>
      </c>
      <c r="D84" s="21" t="s">
        <v>49</v>
      </c>
      <c r="E84" s="21">
        <v>12.0</v>
      </c>
      <c r="F84" s="21" t="s">
        <v>28</v>
      </c>
      <c r="Q84" s="21">
        <v>150.0</v>
      </c>
      <c r="V84" s="22">
        <f t="shared" si="1"/>
        <v>15000</v>
      </c>
      <c r="W84" s="21" t="s">
        <v>29</v>
      </c>
      <c r="X84" s="21" t="s">
        <v>61</v>
      </c>
      <c r="Y84" s="23">
        <v>46177.0</v>
      </c>
    </row>
    <row r="85" ht="22.5" customHeight="1">
      <c r="A85" s="20">
        <v>46177.338822418984</v>
      </c>
      <c r="B85" s="21" t="s">
        <v>32</v>
      </c>
      <c r="C85" s="21" t="s">
        <v>47</v>
      </c>
      <c r="D85" s="21" t="s">
        <v>34</v>
      </c>
      <c r="E85" s="21" t="s">
        <v>35</v>
      </c>
      <c r="F85" s="21" t="s">
        <v>36</v>
      </c>
      <c r="Q85" s="21">
        <v>34.0</v>
      </c>
      <c r="V85" s="22">
        <f t="shared" si="1"/>
        <v>3400</v>
      </c>
      <c r="W85" s="21" t="s">
        <v>37</v>
      </c>
      <c r="X85" s="21" t="s">
        <v>30</v>
      </c>
      <c r="Y85" s="23">
        <v>46177.0</v>
      </c>
    </row>
    <row r="86" ht="22.5" customHeight="1">
      <c r="A86" s="20">
        <v>46177.33967819445</v>
      </c>
      <c r="B86" s="21" t="s">
        <v>25</v>
      </c>
      <c r="C86" s="21" t="s">
        <v>62</v>
      </c>
      <c r="D86" s="21" t="s">
        <v>60</v>
      </c>
      <c r="E86" s="21" t="s">
        <v>63</v>
      </c>
      <c r="F86" s="21" t="s">
        <v>31</v>
      </c>
      <c r="I86" s="21">
        <v>8.0</v>
      </c>
      <c r="V86" s="22">
        <f t="shared" si="1"/>
        <v>4000</v>
      </c>
      <c r="W86" s="21" t="s">
        <v>29</v>
      </c>
      <c r="X86" s="21" t="s">
        <v>64</v>
      </c>
      <c r="Y86" s="23">
        <v>46177.0</v>
      </c>
    </row>
    <row r="87" ht="22.5" customHeight="1">
      <c r="A87" s="20">
        <v>46177.355631122686</v>
      </c>
      <c r="B87" s="21" t="s">
        <v>32</v>
      </c>
      <c r="C87" s="21" t="s">
        <v>41</v>
      </c>
      <c r="D87" s="21" t="s">
        <v>53</v>
      </c>
      <c r="E87" s="21" t="s">
        <v>46</v>
      </c>
      <c r="F87" s="21" t="s">
        <v>31</v>
      </c>
      <c r="Q87" s="21">
        <v>14.0</v>
      </c>
      <c r="S87" s="21">
        <v>3.0</v>
      </c>
      <c r="V87" s="22">
        <f t="shared" si="1"/>
        <v>1475</v>
      </c>
      <c r="W87" s="21" t="s">
        <v>37</v>
      </c>
      <c r="X87" s="21" t="s">
        <v>30</v>
      </c>
      <c r="Y87" s="23">
        <v>46177.0</v>
      </c>
    </row>
    <row r="88" ht="22.5" customHeight="1">
      <c r="A88" s="20">
        <v>46177.35651891204</v>
      </c>
      <c r="B88" s="21" t="s">
        <v>32</v>
      </c>
      <c r="C88" s="21" t="s">
        <v>41</v>
      </c>
      <c r="D88" s="21" t="s">
        <v>53</v>
      </c>
      <c r="E88" s="21" t="s">
        <v>42</v>
      </c>
      <c r="F88" s="21" t="s">
        <v>31</v>
      </c>
      <c r="Q88" s="21">
        <v>6.0</v>
      </c>
      <c r="S88" s="21">
        <v>1.0</v>
      </c>
      <c r="V88" s="22">
        <f t="shared" si="1"/>
        <v>625</v>
      </c>
      <c r="W88" s="21" t="s">
        <v>37</v>
      </c>
      <c r="X88" s="21" t="s">
        <v>30</v>
      </c>
      <c r="Y88" s="23">
        <v>46177.0</v>
      </c>
    </row>
    <row r="89" ht="22.5" customHeight="1">
      <c r="A89" s="20">
        <v>46177.3573613426</v>
      </c>
      <c r="B89" s="21" t="s">
        <v>32</v>
      </c>
      <c r="C89" s="21" t="s">
        <v>41</v>
      </c>
      <c r="D89" s="21" t="s">
        <v>60</v>
      </c>
      <c r="E89" s="21" t="s">
        <v>46</v>
      </c>
      <c r="F89" s="21" t="s">
        <v>31</v>
      </c>
      <c r="R89" s="21">
        <v>160.0</v>
      </c>
      <c r="S89" s="21">
        <v>2.0</v>
      </c>
      <c r="V89" s="22">
        <f t="shared" si="1"/>
        <v>8050</v>
      </c>
      <c r="W89" s="21" t="s">
        <v>29</v>
      </c>
      <c r="X89" s="21" t="s">
        <v>65</v>
      </c>
      <c r="Y89" s="23">
        <v>46177.0</v>
      </c>
    </row>
    <row r="90" ht="22.5" customHeight="1">
      <c r="A90" s="20">
        <v>46177.357996527775</v>
      </c>
      <c r="B90" s="21" t="s">
        <v>32</v>
      </c>
      <c r="C90" s="21" t="s">
        <v>41</v>
      </c>
      <c r="D90" s="21" t="s">
        <v>53</v>
      </c>
      <c r="E90" s="21" t="s">
        <v>46</v>
      </c>
      <c r="F90" s="21" t="s">
        <v>31</v>
      </c>
      <c r="Q90" s="21">
        <v>18.0</v>
      </c>
      <c r="S90" s="21">
        <v>5.0</v>
      </c>
      <c r="V90" s="22">
        <f t="shared" si="1"/>
        <v>1925</v>
      </c>
      <c r="W90" s="21" t="s">
        <v>37</v>
      </c>
      <c r="X90" s="21" t="s">
        <v>30</v>
      </c>
      <c r="Y90" s="23">
        <v>46177.0</v>
      </c>
    </row>
    <row r="91" ht="22.5" customHeight="1">
      <c r="A91" s="20">
        <v>46177.359428854164</v>
      </c>
      <c r="B91" s="21" t="s">
        <v>32</v>
      </c>
      <c r="C91" s="21" t="s">
        <v>41</v>
      </c>
      <c r="D91" s="21" t="s">
        <v>53</v>
      </c>
      <c r="E91" s="21" t="s">
        <v>66</v>
      </c>
      <c r="F91" s="21" t="s">
        <v>31</v>
      </c>
      <c r="Q91" s="21">
        <v>16.0</v>
      </c>
      <c r="S91" s="21">
        <v>5.0</v>
      </c>
      <c r="V91" s="22">
        <f t="shared" si="1"/>
        <v>1725</v>
      </c>
      <c r="W91" s="21" t="s">
        <v>29</v>
      </c>
      <c r="X91" s="21" t="s">
        <v>30</v>
      </c>
      <c r="Y91" s="23">
        <v>46177.0</v>
      </c>
    </row>
    <row r="92" ht="22.5" customHeight="1">
      <c r="A92" s="20">
        <v>46175.43422135417</v>
      </c>
      <c r="B92" s="21" t="s">
        <v>32</v>
      </c>
      <c r="C92" s="21" t="s">
        <v>41</v>
      </c>
      <c r="D92" s="21" t="s">
        <v>53</v>
      </c>
      <c r="E92" s="21" t="s">
        <v>54</v>
      </c>
      <c r="F92" s="21" t="s">
        <v>31</v>
      </c>
      <c r="Q92" s="21">
        <v>1.0</v>
      </c>
      <c r="S92" s="21">
        <v>4.0</v>
      </c>
      <c r="V92" s="22">
        <f t="shared" si="1"/>
        <v>200</v>
      </c>
      <c r="W92" s="21" t="s">
        <v>37</v>
      </c>
      <c r="X92" s="21" t="s">
        <v>30</v>
      </c>
      <c r="Y92" s="23">
        <v>46177.0</v>
      </c>
    </row>
    <row r="93" ht="22.5" customHeight="1">
      <c r="A93" s="20">
        <v>46177.39433167824</v>
      </c>
      <c r="B93" s="21" t="s">
        <v>25</v>
      </c>
      <c r="C93" s="21" t="s">
        <v>48</v>
      </c>
      <c r="D93" s="21" t="s">
        <v>49</v>
      </c>
      <c r="E93" s="21">
        <v>12.0</v>
      </c>
      <c r="F93" s="21" t="s">
        <v>31</v>
      </c>
      <c r="Q93" s="21">
        <v>81.0</v>
      </c>
      <c r="S93" s="21">
        <v>1.0</v>
      </c>
      <c r="V93" s="22">
        <f t="shared" si="1"/>
        <v>8125</v>
      </c>
      <c r="W93" s="21" t="s">
        <v>29</v>
      </c>
      <c r="X93" s="21" t="s">
        <v>61</v>
      </c>
      <c r="Y93" s="23">
        <v>46177.0</v>
      </c>
    </row>
    <row r="94" ht="22.5" customHeight="1">
      <c r="A94" s="20">
        <v>46177.39469552084</v>
      </c>
      <c r="B94" s="21" t="s">
        <v>32</v>
      </c>
      <c r="C94" s="21" t="s">
        <v>67</v>
      </c>
      <c r="D94" s="21" t="s">
        <v>55</v>
      </c>
      <c r="E94" s="21">
        <v>14.0</v>
      </c>
      <c r="F94" s="21" t="s">
        <v>31</v>
      </c>
      <c r="S94" s="21">
        <v>1.0</v>
      </c>
      <c r="V94" s="22">
        <f t="shared" si="1"/>
        <v>25</v>
      </c>
      <c r="W94" s="21" t="s">
        <v>37</v>
      </c>
      <c r="X94" s="21" t="s">
        <v>30</v>
      </c>
      <c r="Y94" s="23">
        <v>46177.0</v>
      </c>
    </row>
    <row r="95" ht="22.5" customHeight="1">
      <c r="A95" s="20">
        <v>46177.39500609954</v>
      </c>
      <c r="B95" s="21" t="s">
        <v>32</v>
      </c>
      <c r="C95" s="21" t="s">
        <v>67</v>
      </c>
      <c r="D95" s="21" t="s">
        <v>55</v>
      </c>
      <c r="E95" s="21">
        <v>14.0</v>
      </c>
      <c r="F95" s="21" t="s">
        <v>36</v>
      </c>
      <c r="S95" s="21">
        <v>1.0</v>
      </c>
      <c r="V95" s="22">
        <f t="shared" si="1"/>
        <v>25</v>
      </c>
      <c r="W95" s="21" t="s">
        <v>37</v>
      </c>
      <c r="X95" s="21" t="s">
        <v>30</v>
      </c>
      <c r="Y95" s="23">
        <v>46177.0</v>
      </c>
    </row>
    <row r="96" ht="22.5" customHeight="1">
      <c r="A96" s="20">
        <v>46177.33967819445</v>
      </c>
      <c r="B96" s="21" t="s">
        <v>25</v>
      </c>
      <c r="C96" s="21" t="s">
        <v>62</v>
      </c>
      <c r="D96" s="21" t="s">
        <v>60</v>
      </c>
      <c r="E96" s="21" t="s">
        <v>63</v>
      </c>
      <c r="F96" s="21" t="s">
        <v>31</v>
      </c>
      <c r="R96" s="21">
        <v>15.0</v>
      </c>
      <c r="S96" s="21">
        <v>1.0</v>
      </c>
      <c r="V96" s="22">
        <f t="shared" si="1"/>
        <v>775</v>
      </c>
      <c r="W96" s="21" t="s">
        <v>29</v>
      </c>
      <c r="X96" s="21" t="s">
        <v>30</v>
      </c>
      <c r="Y96" s="23">
        <v>46177.0</v>
      </c>
    </row>
    <row r="97" ht="22.5" customHeight="1">
      <c r="A97" s="20">
        <v>46178.32499636574</v>
      </c>
      <c r="B97" s="21" t="s">
        <v>32</v>
      </c>
      <c r="C97" s="21" t="s">
        <v>47</v>
      </c>
      <c r="D97" s="21" t="s">
        <v>34</v>
      </c>
      <c r="E97" s="21" t="s">
        <v>51</v>
      </c>
      <c r="F97" s="21" t="s">
        <v>36</v>
      </c>
      <c r="Q97" s="21">
        <v>148.0</v>
      </c>
      <c r="S97" s="21">
        <v>3.0</v>
      </c>
      <c r="V97" s="22">
        <f t="shared" si="1"/>
        <v>14875</v>
      </c>
      <c r="W97" s="21" t="s">
        <v>37</v>
      </c>
      <c r="X97" s="21" t="s">
        <v>52</v>
      </c>
      <c r="Y97" s="23">
        <v>46178.0</v>
      </c>
    </row>
    <row r="98" ht="22.5" customHeight="1">
      <c r="A98" s="20">
        <v>46178.327273055555</v>
      </c>
      <c r="B98" s="21" t="s">
        <v>25</v>
      </c>
      <c r="C98" s="21" t="s">
        <v>68</v>
      </c>
      <c r="D98" s="21" t="s">
        <v>34</v>
      </c>
      <c r="E98" s="21" t="s">
        <v>51</v>
      </c>
      <c r="F98" s="21" t="s">
        <v>36</v>
      </c>
      <c r="Q98" s="21">
        <v>156.0</v>
      </c>
      <c r="S98" s="21">
        <v>2.0</v>
      </c>
      <c r="V98" s="22">
        <f t="shared" si="1"/>
        <v>15650</v>
      </c>
      <c r="W98" s="21" t="s">
        <v>37</v>
      </c>
      <c r="X98" s="21" t="s">
        <v>52</v>
      </c>
      <c r="Y98" s="23">
        <v>46178.0</v>
      </c>
    </row>
    <row r="99" ht="22.5" customHeight="1">
      <c r="A99" s="20">
        <v>46178.328190451386</v>
      </c>
      <c r="B99" s="21" t="s">
        <v>32</v>
      </c>
      <c r="C99" s="21" t="s">
        <v>47</v>
      </c>
      <c r="D99" s="21" t="s">
        <v>49</v>
      </c>
      <c r="E99" s="21">
        <v>12.0</v>
      </c>
      <c r="F99" s="21" t="s">
        <v>36</v>
      </c>
      <c r="Q99" s="21">
        <v>137.0</v>
      </c>
      <c r="S99" s="21">
        <v>6.0</v>
      </c>
      <c r="V99" s="22">
        <f t="shared" si="1"/>
        <v>13850</v>
      </c>
      <c r="W99" s="21" t="s">
        <v>29</v>
      </c>
      <c r="X99" s="21" t="s">
        <v>61</v>
      </c>
      <c r="Y99" s="23">
        <v>46178.0</v>
      </c>
    </row>
    <row r="100" ht="22.5" customHeight="1">
      <c r="A100" s="20">
        <v>46178.32922840278</v>
      </c>
      <c r="B100" s="21" t="s">
        <v>32</v>
      </c>
      <c r="C100" s="21" t="s">
        <v>47</v>
      </c>
      <c r="D100" s="21" t="s">
        <v>49</v>
      </c>
      <c r="E100" s="21">
        <v>12.0</v>
      </c>
      <c r="F100" s="21" t="s">
        <v>44</v>
      </c>
      <c r="Q100" s="21">
        <v>139.0</v>
      </c>
      <c r="S100" s="21">
        <v>23.0</v>
      </c>
      <c r="V100" s="22">
        <f t="shared" si="1"/>
        <v>14475</v>
      </c>
      <c r="W100" s="21" t="s">
        <v>29</v>
      </c>
      <c r="X100" s="21" t="s">
        <v>61</v>
      </c>
      <c r="Y100" s="23">
        <v>46178.0</v>
      </c>
    </row>
    <row r="101" ht="22.5" customHeight="1">
      <c r="A101" s="20">
        <v>46178.33168877315</v>
      </c>
      <c r="B101" s="21" t="s">
        <v>25</v>
      </c>
      <c r="C101" s="21" t="s">
        <v>68</v>
      </c>
      <c r="D101" s="21" t="s">
        <v>49</v>
      </c>
      <c r="E101" s="21">
        <v>12.0</v>
      </c>
      <c r="F101" s="21" t="s">
        <v>38</v>
      </c>
      <c r="Q101" s="21">
        <v>148.0</v>
      </c>
      <c r="S101" s="21">
        <v>2.0</v>
      </c>
      <c r="V101" s="22">
        <f t="shared" si="1"/>
        <v>14850</v>
      </c>
      <c r="W101" s="21" t="s">
        <v>29</v>
      </c>
      <c r="X101" s="21" t="s">
        <v>61</v>
      </c>
      <c r="Y101" s="23">
        <v>46178.0</v>
      </c>
    </row>
    <row r="102" ht="22.5" customHeight="1">
      <c r="A102" s="20">
        <v>46178.33427771991</v>
      </c>
      <c r="B102" s="21" t="s">
        <v>25</v>
      </c>
      <c r="C102" s="21" t="s">
        <v>45</v>
      </c>
      <c r="D102" s="21" t="s">
        <v>60</v>
      </c>
      <c r="E102" s="21" t="s">
        <v>63</v>
      </c>
      <c r="F102" s="21" t="s">
        <v>31</v>
      </c>
      <c r="Q102" s="21">
        <v>22.0</v>
      </c>
      <c r="V102" s="22">
        <f t="shared" si="1"/>
        <v>2200</v>
      </c>
      <c r="W102" s="21" t="s">
        <v>29</v>
      </c>
      <c r="X102" s="21" t="s">
        <v>64</v>
      </c>
      <c r="Y102" s="23">
        <v>46178.0</v>
      </c>
    </row>
    <row r="103" ht="22.5" customHeight="1">
      <c r="A103" s="20">
        <v>46178.335049270834</v>
      </c>
      <c r="B103" s="21" t="s">
        <v>25</v>
      </c>
      <c r="C103" s="21" t="s">
        <v>69</v>
      </c>
      <c r="D103" s="21" t="s">
        <v>60</v>
      </c>
      <c r="E103" s="21" t="s">
        <v>46</v>
      </c>
      <c r="F103" s="21" t="s">
        <v>31</v>
      </c>
      <c r="Q103" s="21">
        <v>19.0</v>
      </c>
      <c r="S103" s="21">
        <v>6.0</v>
      </c>
      <c r="V103" s="22">
        <f t="shared" si="1"/>
        <v>2050</v>
      </c>
      <c r="W103" s="21" t="s">
        <v>29</v>
      </c>
      <c r="X103" s="21" t="s">
        <v>65</v>
      </c>
      <c r="Y103" s="23">
        <v>46178.0</v>
      </c>
    </row>
    <row r="104" ht="22.5" customHeight="1">
      <c r="A104" s="20">
        <v>46178.336332129635</v>
      </c>
      <c r="B104" s="21" t="s">
        <v>25</v>
      </c>
      <c r="C104" s="21" t="s">
        <v>70</v>
      </c>
      <c r="D104" s="21" t="s">
        <v>60</v>
      </c>
      <c r="E104" s="21" t="s">
        <v>63</v>
      </c>
      <c r="F104" s="21" t="s">
        <v>31</v>
      </c>
      <c r="R104" s="21">
        <v>88.0</v>
      </c>
      <c r="S104" s="21">
        <v>2.0</v>
      </c>
      <c r="V104" s="22">
        <f t="shared" si="1"/>
        <v>4450</v>
      </c>
      <c r="W104" s="21" t="s">
        <v>29</v>
      </c>
      <c r="X104" s="21" t="s">
        <v>64</v>
      </c>
      <c r="Y104" s="23">
        <v>46178.0</v>
      </c>
    </row>
    <row r="105" ht="22.5" customHeight="1">
      <c r="A105" s="20">
        <v>46178.33718003472</v>
      </c>
      <c r="B105" s="21" t="s">
        <v>25</v>
      </c>
      <c r="C105" s="21" t="s">
        <v>69</v>
      </c>
      <c r="D105" s="21" t="s">
        <v>60</v>
      </c>
      <c r="E105" s="21" t="s">
        <v>63</v>
      </c>
      <c r="F105" s="21" t="s">
        <v>31</v>
      </c>
      <c r="I105" s="21">
        <v>8.0</v>
      </c>
      <c r="V105" s="22">
        <f t="shared" si="1"/>
        <v>4000</v>
      </c>
      <c r="W105" s="21" t="s">
        <v>29</v>
      </c>
      <c r="X105" s="21" t="s">
        <v>64</v>
      </c>
      <c r="Y105" s="23">
        <v>46178.0</v>
      </c>
    </row>
    <row r="106" ht="22.5" customHeight="1">
      <c r="A106" s="20">
        <v>46178.338077824075</v>
      </c>
      <c r="B106" s="21" t="s">
        <v>25</v>
      </c>
      <c r="C106" s="21" t="s">
        <v>62</v>
      </c>
      <c r="D106" s="21" t="s">
        <v>60</v>
      </c>
      <c r="E106" s="21" t="s">
        <v>71</v>
      </c>
      <c r="F106" s="21" t="s">
        <v>31</v>
      </c>
      <c r="I106" s="21">
        <v>5.0</v>
      </c>
      <c r="V106" s="22">
        <f t="shared" si="1"/>
        <v>2500</v>
      </c>
      <c r="W106" s="21" t="s">
        <v>29</v>
      </c>
      <c r="X106" s="21" t="s">
        <v>72</v>
      </c>
      <c r="Y106" s="23">
        <v>46178.0</v>
      </c>
    </row>
    <row r="107" ht="22.5" customHeight="1">
      <c r="A107" s="20">
        <v>46181.326510625004</v>
      </c>
      <c r="B107" s="21" t="s">
        <v>25</v>
      </c>
      <c r="C107" s="21" t="s">
        <v>48</v>
      </c>
      <c r="D107" s="21" t="s">
        <v>27</v>
      </c>
      <c r="E107" s="21">
        <v>12.0</v>
      </c>
      <c r="F107" s="21" t="s">
        <v>38</v>
      </c>
      <c r="I107" s="21">
        <v>24.0</v>
      </c>
      <c r="V107" s="22">
        <f t="shared" si="1"/>
        <v>12000</v>
      </c>
      <c r="W107" s="21" t="s">
        <v>29</v>
      </c>
      <c r="X107" s="21" t="s">
        <v>73</v>
      </c>
      <c r="Y107" s="23">
        <v>46181.0</v>
      </c>
    </row>
    <row r="108" ht="22.5" customHeight="1">
      <c r="A108" s="20">
        <v>46181.32693758102</v>
      </c>
      <c r="B108" s="21" t="s">
        <v>25</v>
      </c>
      <c r="C108" s="21" t="s">
        <v>48</v>
      </c>
      <c r="D108" s="21" t="s">
        <v>27</v>
      </c>
      <c r="E108" s="21">
        <v>12.0</v>
      </c>
      <c r="F108" s="21" t="s">
        <v>28</v>
      </c>
      <c r="I108" s="21">
        <v>10.0</v>
      </c>
      <c r="V108" s="22">
        <f t="shared" si="1"/>
        <v>5000</v>
      </c>
      <c r="W108" s="21" t="s">
        <v>29</v>
      </c>
      <c r="X108" s="21" t="s">
        <v>73</v>
      </c>
      <c r="Y108" s="23">
        <v>46181.0</v>
      </c>
    </row>
    <row r="109" ht="22.5" customHeight="1">
      <c r="A109" s="20">
        <v>46181.32841202546</v>
      </c>
      <c r="B109" s="21" t="s">
        <v>25</v>
      </c>
      <c r="C109" s="21" t="s">
        <v>48</v>
      </c>
      <c r="D109" s="21" t="s">
        <v>49</v>
      </c>
      <c r="E109" s="21">
        <v>12.0</v>
      </c>
      <c r="F109" s="21" t="s">
        <v>36</v>
      </c>
      <c r="I109" s="21">
        <v>29.0</v>
      </c>
      <c r="V109" s="22">
        <f t="shared" si="1"/>
        <v>14500</v>
      </c>
      <c r="W109" s="21" t="s">
        <v>29</v>
      </c>
      <c r="X109" s="21" t="s">
        <v>61</v>
      </c>
      <c r="Y109" s="23">
        <v>46181.0</v>
      </c>
    </row>
    <row r="110" ht="22.5" customHeight="1">
      <c r="A110" s="20">
        <v>46181.32894994213</v>
      </c>
      <c r="B110" s="21" t="s">
        <v>25</v>
      </c>
      <c r="C110" s="21" t="s">
        <v>69</v>
      </c>
      <c r="D110" s="21" t="s">
        <v>49</v>
      </c>
      <c r="E110" s="21">
        <v>12.0</v>
      </c>
      <c r="F110" s="21" t="s">
        <v>31</v>
      </c>
      <c r="I110" s="21">
        <v>13.0</v>
      </c>
      <c r="V110" s="22">
        <f t="shared" si="1"/>
        <v>6500</v>
      </c>
      <c r="W110" s="21" t="s">
        <v>29</v>
      </c>
      <c r="X110" s="21" t="s">
        <v>61</v>
      </c>
      <c r="Y110" s="23">
        <v>46181.0</v>
      </c>
    </row>
    <row r="111" ht="22.5" customHeight="1">
      <c r="A111" s="20">
        <v>46181.3302480787</v>
      </c>
      <c r="B111" s="21" t="s">
        <v>32</v>
      </c>
      <c r="C111" s="21" t="s">
        <v>47</v>
      </c>
      <c r="D111" s="21" t="s">
        <v>55</v>
      </c>
      <c r="E111" s="21">
        <v>12.0</v>
      </c>
      <c r="F111" s="21" t="s">
        <v>39</v>
      </c>
      <c r="Q111" s="21">
        <v>132.0</v>
      </c>
      <c r="S111" s="21">
        <v>1.0</v>
      </c>
      <c r="V111" s="22">
        <f t="shared" si="1"/>
        <v>13225</v>
      </c>
      <c r="W111" s="21" t="s">
        <v>37</v>
      </c>
      <c r="X111" s="21" t="s">
        <v>74</v>
      </c>
      <c r="Y111" s="23">
        <v>46181.0</v>
      </c>
    </row>
    <row r="112" ht="22.5" customHeight="1">
      <c r="A112" s="20">
        <v>46181.33125162037</v>
      </c>
      <c r="B112" s="21" t="s">
        <v>32</v>
      </c>
      <c r="C112" s="21" t="s">
        <v>47</v>
      </c>
      <c r="D112" s="21" t="s">
        <v>55</v>
      </c>
      <c r="E112" s="21">
        <v>12.0</v>
      </c>
      <c r="F112" s="21" t="s">
        <v>39</v>
      </c>
      <c r="Q112" s="21">
        <v>400.0</v>
      </c>
      <c r="V112" s="22">
        <f t="shared" si="1"/>
        <v>40000</v>
      </c>
      <c r="W112" s="21" t="s">
        <v>37</v>
      </c>
      <c r="X112" s="21" t="s">
        <v>74</v>
      </c>
      <c r="Y112" s="23">
        <v>46181.0</v>
      </c>
    </row>
    <row r="113" ht="22.5" customHeight="1">
      <c r="A113" s="20">
        <v>46181.33233942129</v>
      </c>
      <c r="B113" s="21" t="s">
        <v>32</v>
      </c>
      <c r="C113" s="21" t="s">
        <v>47</v>
      </c>
      <c r="D113" s="21" t="s">
        <v>55</v>
      </c>
      <c r="E113" s="21">
        <v>12.0</v>
      </c>
      <c r="F113" s="21" t="s">
        <v>39</v>
      </c>
      <c r="Q113" s="21">
        <v>115.0</v>
      </c>
      <c r="S113" s="21">
        <v>11.0</v>
      </c>
      <c r="V113" s="22">
        <f t="shared" si="1"/>
        <v>11775</v>
      </c>
      <c r="W113" s="21" t="s">
        <v>37</v>
      </c>
      <c r="X113" s="21" t="s">
        <v>74</v>
      </c>
      <c r="Y113" s="23">
        <v>46181.0</v>
      </c>
    </row>
    <row r="114" ht="22.5" customHeight="1">
      <c r="A114" s="20">
        <v>46181.33345045139</v>
      </c>
      <c r="B114" s="21" t="s">
        <v>32</v>
      </c>
      <c r="C114" s="21" t="s">
        <v>47</v>
      </c>
      <c r="D114" s="21" t="s">
        <v>34</v>
      </c>
      <c r="E114" s="21" t="s">
        <v>51</v>
      </c>
      <c r="F114" s="21" t="s">
        <v>36</v>
      </c>
      <c r="Q114" s="21">
        <v>151.0</v>
      </c>
      <c r="V114" s="22">
        <f t="shared" si="1"/>
        <v>15100</v>
      </c>
      <c r="W114" s="21" t="s">
        <v>37</v>
      </c>
      <c r="X114" s="21" t="s">
        <v>52</v>
      </c>
      <c r="Y114" s="23">
        <v>46181.0</v>
      </c>
    </row>
    <row r="115" ht="22.5" customHeight="1">
      <c r="A115" s="20">
        <v>46181.33418428241</v>
      </c>
      <c r="B115" s="21" t="s">
        <v>25</v>
      </c>
      <c r="C115" s="21" t="s">
        <v>68</v>
      </c>
      <c r="D115" s="21" t="s">
        <v>34</v>
      </c>
      <c r="E115" s="21" t="s">
        <v>51</v>
      </c>
      <c r="F115" s="21" t="s">
        <v>36</v>
      </c>
      <c r="Q115" s="21">
        <v>149.0</v>
      </c>
      <c r="V115" s="22">
        <f t="shared" si="1"/>
        <v>14900</v>
      </c>
      <c r="W115" s="21" t="s">
        <v>37</v>
      </c>
      <c r="X115" s="21" t="s">
        <v>52</v>
      </c>
      <c r="Y115" s="23">
        <v>46181.0</v>
      </c>
    </row>
    <row r="116" ht="22.5" customHeight="1">
      <c r="A116" s="20">
        <v>46181.33872782407</v>
      </c>
      <c r="B116" s="21" t="s">
        <v>32</v>
      </c>
      <c r="C116" s="21" t="s">
        <v>62</v>
      </c>
      <c r="D116" s="21" t="s">
        <v>27</v>
      </c>
      <c r="E116" s="21">
        <v>8.0</v>
      </c>
      <c r="F116" s="21" t="s">
        <v>28</v>
      </c>
      <c r="I116" s="21">
        <v>13.0</v>
      </c>
      <c r="V116" s="22">
        <f t="shared" si="1"/>
        <v>6500</v>
      </c>
      <c r="W116" s="21" t="s">
        <v>29</v>
      </c>
      <c r="X116" s="21" t="s">
        <v>58</v>
      </c>
      <c r="Y116" s="23">
        <v>46181.0</v>
      </c>
    </row>
    <row r="117" ht="22.5" customHeight="1">
      <c r="A117" s="20">
        <v>46181.33930543982</v>
      </c>
      <c r="B117" s="21" t="s">
        <v>32</v>
      </c>
      <c r="C117" s="21" t="s">
        <v>62</v>
      </c>
      <c r="D117" s="21" t="s">
        <v>27</v>
      </c>
      <c r="E117" s="21">
        <v>8.0</v>
      </c>
      <c r="F117" s="21" t="s">
        <v>44</v>
      </c>
      <c r="I117" s="21">
        <v>16.0</v>
      </c>
      <c r="V117" s="22">
        <f t="shared" si="1"/>
        <v>8000</v>
      </c>
      <c r="W117" s="21" t="s">
        <v>29</v>
      </c>
      <c r="X117" s="21" t="s">
        <v>58</v>
      </c>
      <c r="Y117" s="23">
        <v>46181.0</v>
      </c>
    </row>
    <row r="118" ht="22.5" customHeight="1">
      <c r="A118" s="20">
        <v>46181.34310197917</v>
      </c>
      <c r="B118" s="21" t="s">
        <v>32</v>
      </c>
      <c r="C118" s="21" t="s">
        <v>48</v>
      </c>
      <c r="D118" s="21" t="s">
        <v>55</v>
      </c>
      <c r="E118" s="21">
        <v>12.0</v>
      </c>
      <c r="F118" s="21" t="s">
        <v>31</v>
      </c>
      <c r="Q118" s="21">
        <v>222.0</v>
      </c>
      <c r="S118" s="21">
        <v>1.0</v>
      </c>
      <c r="V118" s="22">
        <f t="shared" si="1"/>
        <v>22225</v>
      </c>
      <c r="W118" s="21" t="s">
        <v>37</v>
      </c>
      <c r="X118" s="21" t="s">
        <v>74</v>
      </c>
      <c r="Y118" s="23">
        <v>46181.0</v>
      </c>
    </row>
    <row r="119" ht="22.5" customHeight="1">
      <c r="A119" s="20">
        <v>46181.40144078704</v>
      </c>
      <c r="B119" s="21" t="s">
        <v>32</v>
      </c>
      <c r="C119" s="21" t="s">
        <v>75</v>
      </c>
      <c r="D119" s="21" t="s">
        <v>27</v>
      </c>
      <c r="E119" s="21">
        <v>8.0</v>
      </c>
      <c r="F119" s="21" t="s">
        <v>36</v>
      </c>
      <c r="I119" s="21">
        <v>10.0</v>
      </c>
      <c r="V119" s="22">
        <f t="shared" si="1"/>
        <v>5000</v>
      </c>
      <c r="W119" s="21" t="s">
        <v>29</v>
      </c>
      <c r="X119" s="21" t="s">
        <v>58</v>
      </c>
      <c r="Y119" s="23">
        <v>46181.0</v>
      </c>
    </row>
    <row r="120" ht="22.5" customHeight="1">
      <c r="A120" s="20">
        <v>46181.40397759259</v>
      </c>
      <c r="B120" s="21" t="s">
        <v>32</v>
      </c>
      <c r="C120" s="21" t="s">
        <v>33</v>
      </c>
      <c r="D120" s="21" t="s">
        <v>27</v>
      </c>
      <c r="E120" s="21">
        <v>12.0</v>
      </c>
      <c r="F120" s="21" t="s">
        <v>38</v>
      </c>
      <c r="S120" s="21">
        <v>4.0</v>
      </c>
      <c r="V120" s="22">
        <f t="shared" si="1"/>
        <v>100</v>
      </c>
      <c r="W120" s="21" t="s">
        <v>29</v>
      </c>
      <c r="X120" s="21" t="s">
        <v>73</v>
      </c>
      <c r="Y120" s="23">
        <v>46181.0</v>
      </c>
    </row>
    <row r="121" ht="22.5" customHeight="1">
      <c r="A121" s="20">
        <v>46181.405790370365</v>
      </c>
      <c r="B121" s="21" t="s">
        <v>32</v>
      </c>
      <c r="C121" s="21" t="s">
        <v>75</v>
      </c>
      <c r="D121" s="21" t="s">
        <v>49</v>
      </c>
      <c r="E121" s="21">
        <v>14.0</v>
      </c>
      <c r="F121" s="21" t="s">
        <v>28</v>
      </c>
      <c r="I121" s="21">
        <v>2.0</v>
      </c>
      <c r="V121" s="22">
        <f t="shared" si="1"/>
        <v>1000</v>
      </c>
      <c r="W121" s="21" t="s">
        <v>29</v>
      </c>
      <c r="X121" s="21" t="s">
        <v>50</v>
      </c>
      <c r="Y121" s="23">
        <v>46181.0</v>
      </c>
    </row>
    <row r="122" ht="22.5" customHeight="1">
      <c r="A122" s="20">
        <v>46181.40663092592</v>
      </c>
      <c r="B122" s="21" t="s">
        <v>32</v>
      </c>
      <c r="C122" s="21" t="s">
        <v>75</v>
      </c>
      <c r="D122" s="21" t="s">
        <v>49</v>
      </c>
      <c r="E122" s="21">
        <v>14.0</v>
      </c>
      <c r="F122" s="21" t="s">
        <v>36</v>
      </c>
      <c r="I122" s="21">
        <v>10.0</v>
      </c>
      <c r="Q122" s="21">
        <v>1.0</v>
      </c>
      <c r="S122" s="21">
        <v>14.0</v>
      </c>
      <c r="V122" s="22">
        <f t="shared" si="1"/>
        <v>5450</v>
      </c>
      <c r="W122" s="21" t="s">
        <v>29</v>
      </c>
      <c r="X122" s="21" t="s">
        <v>50</v>
      </c>
      <c r="Y122" s="23">
        <v>46181.0</v>
      </c>
    </row>
    <row r="123" ht="22.5" customHeight="1">
      <c r="A123" s="20">
        <v>46181.40713861111</v>
      </c>
      <c r="B123" s="21" t="s">
        <v>32</v>
      </c>
      <c r="C123" s="21" t="s">
        <v>68</v>
      </c>
      <c r="D123" s="21" t="s">
        <v>49</v>
      </c>
      <c r="E123" s="21">
        <v>14.0</v>
      </c>
      <c r="F123" s="21" t="s">
        <v>31</v>
      </c>
      <c r="S123" s="21">
        <v>6.0</v>
      </c>
      <c r="V123" s="22">
        <f t="shared" si="1"/>
        <v>150</v>
      </c>
      <c r="W123" s="21" t="s">
        <v>29</v>
      </c>
      <c r="X123" s="21" t="s">
        <v>50</v>
      </c>
      <c r="Y123" s="23">
        <v>46181.0</v>
      </c>
    </row>
    <row r="124" ht="22.5" customHeight="1">
      <c r="A124" s="20">
        <v>46181.407688136576</v>
      </c>
      <c r="B124" s="21" t="s">
        <v>32</v>
      </c>
      <c r="C124" s="21" t="s">
        <v>68</v>
      </c>
      <c r="D124" s="21" t="s">
        <v>49</v>
      </c>
      <c r="E124" s="21">
        <v>12.0</v>
      </c>
      <c r="F124" s="21" t="s">
        <v>36</v>
      </c>
      <c r="S124" s="21">
        <v>1.0</v>
      </c>
      <c r="V124" s="22">
        <f t="shared" si="1"/>
        <v>25</v>
      </c>
      <c r="W124" s="21" t="s">
        <v>29</v>
      </c>
      <c r="X124" s="21" t="s">
        <v>61</v>
      </c>
      <c r="Y124" s="23">
        <v>46181.0</v>
      </c>
    </row>
    <row r="125" ht="22.5" customHeight="1">
      <c r="A125" s="20">
        <v>46181.40839619213</v>
      </c>
      <c r="B125" s="21" t="s">
        <v>32</v>
      </c>
      <c r="C125" s="21" t="s">
        <v>68</v>
      </c>
      <c r="D125" s="21" t="s">
        <v>49</v>
      </c>
      <c r="E125" s="21">
        <v>12.0</v>
      </c>
      <c r="F125" s="21" t="s">
        <v>31</v>
      </c>
      <c r="S125" s="21">
        <v>2.0</v>
      </c>
      <c r="V125" s="22">
        <f t="shared" si="1"/>
        <v>50</v>
      </c>
      <c r="W125" s="21" t="s">
        <v>29</v>
      </c>
      <c r="X125" s="21" t="s">
        <v>61</v>
      </c>
      <c r="Y125" s="23">
        <v>46181.0</v>
      </c>
    </row>
    <row r="126" ht="22.5" customHeight="1">
      <c r="A126" s="20">
        <v>46182.31505289352</v>
      </c>
      <c r="B126" s="21" t="s">
        <v>32</v>
      </c>
      <c r="C126" s="21" t="s">
        <v>33</v>
      </c>
      <c r="D126" s="21" t="s">
        <v>55</v>
      </c>
      <c r="E126" s="21">
        <v>12.0</v>
      </c>
      <c r="F126" s="21" t="s">
        <v>31</v>
      </c>
      <c r="Q126" s="21">
        <v>220.0</v>
      </c>
      <c r="S126" s="21">
        <v>11.0</v>
      </c>
      <c r="V126" s="22">
        <f t="shared" si="1"/>
        <v>22275</v>
      </c>
      <c r="W126" s="21" t="s">
        <v>37</v>
      </c>
      <c r="X126" s="21" t="s">
        <v>74</v>
      </c>
      <c r="Y126" s="23">
        <v>46182.0</v>
      </c>
    </row>
    <row r="127" ht="22.5" customHeight="1">
      <c r="A127" s="20">
        <v>46182.31599351852</v>
      </c>
      <c r="B127" s="21" t="s">
        <v>32</v>
      </c>
      <c r="C127" s="21" t="s">
        <v>33</v>
      </c>
      <c r="D127" s="21" t="s">
        <v>55</v>
      </c>
      <c r="E127" s="21">
        <v>12.0</v>
      </c>
      <c r="F127" s="21" t="s">
        <v>31</v>
      </c>
      <c r="Q127" s="21">
        <v>320.0</v>
      </c>
      <c r="V127" s="22">
        <f t="shared" si="1"/>
        <v>32000</v>
      </c>
      <c r="W127" s="21" t="s">
        <v>37</v>
      </c>
      <c r="X127" s="21" t="s">
        <v>74</v>
      </c>
      <c r="Y127" s="23">
        <v>46182.0</v>
      </c>
    </row>
    <row r="128" ht="22.5" customHeight="1">
      <c r="A128" s="20">
        <v>46182.31720821759</v>
      </c>
      <c r="B128" s="21" t="s">
        <v>25</v>
      </c>
      <c r="C128" s="21" t="s">
        <v>26</v>
      </c>
      <c r="D128" s="21" t="s">
        <v>55</v>
      </c>
      <c r="E128" s="21">
        <v>12.0</v>
      </c>
      <c r="F128" s="21" t="s">
        <v>31</v>
      </c>
      <c r="Q128" s="21">
        <v>500.0</v>
      </c>
      <c r="V128" s="22">
        <f t="shared" si="1"/>
        <v>50000</v>
      </c>
      <c r="W128" s="21" t="s">
        <v>37</v>
      </c>
      <c r="X128" s="21" t="s">
        <v>74</v>
      </c>
      <c r="Y128" s="23">
        <v>46182.0</v>
      </c>
    </row>
    <row r="129" ht="22.5" customHeight="1">
      <c r="A129" s="20">
        <v>46182.317901030096</v>
      </c>
      <c r="B129" s="21" t="s">
        <v>25</v>
      </c>
      <c r="C129" s="21" t="s">
        <v>26</v>
      </c>
      <c r="D129" s="21" t="s">
        <v>55</v>
      </c>
      <c r="E129" s="21">
        <v>12.0</v>
      </c>
      <c r="F129" s="21" t="s">
        <v>31</v>
      </c>
      <c r="Q129" s="21">
        <v>150.0</v>
      </c>
      <c r="S129" s="21">
        <v>36.0</v>
      </c>
      <c r="V129" s="22">
        <f t="shared" si="1"/>
        <v>15900</v>
      </c>
      <c r="W129" s="21" t="s">
        <v>37</v>
      </c>
      <c r="X129" s="21" t="s">
        <v>74</v>
      </c>
      <c r="Y129" s="23">
        <v>46182.0</v>
      </c>
    </row>
    <row r="130" ht="22.5" customHeight="1">
      <c r="A130" s="20">
        <v>46182.31836601852</v>
      </c>
      <c r="B130" s="21" t="s">
        <v>32</v>
      </c>
      <c r="C130" s="21" t="s">
        <v>33</v>
      </c>
      <c r="D130" s="21" t="s">
        <v>55</v>
      </c>
      <c r="E130" s="21">
        <v>12.0</v>
      </c>
      <c r="F130" s="21" t="s">
        <v>39</v>
      </c>
      <c r="Q130" s="21">
        <v>101.0</v>
      </c>
      <c r="S130" s="21">
        <v>10.0</v>
      </c>
      <c r="V130" s="22">
        <f t="shared" si="1"/>
        <v>10350</v>
      </c>
      <c r="W130" s="21" t="s">
        <v>37</v>
      </c>
      <c r="X130" s="21" t="s">
        <v>74</v>
      </c>
      <c r="Y130" s="23">
        <v>46182.0</v>
      </c>
    </row>
    <row r="131" ht="22.5" customHeight="1">
      <c r="A131" s="20">
        <v>46182.319832650464</v>
      </c>
      <c r="B131" s="21" t="s">
        <v>32</v>
      </c>
      <c r="C131" s="21" t="s">
        <v>33</v>
      </c>
      <c r="D131" s="21" t="s">
        <v>27</v>
      </c>
      <c r="E131" s="21">
        <v>12.0</v>
      </c>
      <c r="F131" s="21" t="s">
        <v>38</v>
      </c>
      <c r="I131" s="21">
        <v>4.0</v>
      </c>
      <c r="V131" s="22">
        <f t="shared" si="1"/>
        <v>2000</v>
      </c>
      <c r="W131" s="21" t="s">
        <v>29</v>
      </c>
      <c r="X131" s="21" t="s">
        <v>73</v>
      </c>
      <c r="Y131" s="23">
        <v>46182.0</v>
      </c>
    </row>
    <row r="132" ht="22.5" customHeight="1">
      <c r="A132" s="20">
        <v>46182.32379805556</v>
      </c>
      <c r="B132" s="21" t="s">
        <v>32</v>
      </c>
      <c r="C132" s="21" t="s">
        <v>33</v>
      </c>
      <c r="D132" s="21" t="s">
        <v>34</v>
      </c>
      <c r="E132" s="21" t="s">
        <v>51</v>
      </c>
      <c r="F132" s="21" t="s">
        <v>36</v>
      </c>
      <c r="Q132" s="21">
        <v>24.0</v>
      </c>
      <c r="S132" s="21">
        <v>20.0</v>
      </c>
      <c r="V132" s="22">
        <f t="shared" si="1"/>
        <v>2900</v>
      </c>
      <c r="W132" s="21" t="s">
        <v>37</v>
      </c>
      <c r="X132" s="21" t="s">
        <v>52</v>
      </c>
      <c r="Y132" s="23">
        <v>46182.0</v>
      </c>
    </row>
    <row r="133" ht="22.5" customHeight="1">
      <c r="A133" s="20">
        <v>46182.32650947917</v>
      </c>
      <c r="B133" s="21" t="s">
        <v>32</v>
      </c>
      <c r="C133" s="21" t="s">
        <v>41</v>
      </c>
      <c r="D133" s="21" t="s">
        <v>49</v>
      </c>
      <c r="E133" s="21">
        <v>12.0</v>
      </c>
      <c r="F133" s="21" t="s">
        <v>38</v>
      </c>
      <c r="I133" s="21">
        <v>27.0</v>
      </c>
      <c r="Q133" s="21">
        <v>7.0</v>
      </c>
      <c r="S133" s="21">
        <v>15.0</v>
      </c>
      <c r="V133" s="22">
        <f t="shared" si="1"/>
        <v>14575</v>
      </c>
      <c r="W133" s="21" t="s">
        <v>29</v>
      </c>
      <c r="X133" s="21" t="s">
        <v>61</v>
      </c>
      <c r="Y133" s="23">
        <v>46182.0</v>
      </c>
    </row>
    <row r="134" ht="22.5" customHeight="1">
      <c r="A134" s="20">
        <v>46182.331216203704</v>
      </c>
      <c r="B134" s="21" t="s">
        <v>32</v>
      </c>
      <c r="C134" s="21" t="s">
        <v>33</v>
      </c>
      <c r="D134" s="21" t="s">
        <v>49</v>
      </c>
      <c r="E134" s="21">
        <v>12.0</v>
      </c>
      <c r="F134" s="21" t="s">
        <v>36</v>
      </c>
      <c r="Q134" s="21">
        <v>12.0</v>
      </c>
      <c r="S134" s="21">
        <v>7.0</v>
      </c>
      <c r="V134" s="22">
        <f t="shared" si="1"/>
        <v>1375</v>
      </c>
      <c r="W134" s="21" t="s">
        <v>29</v>
      </c>
      <c r="X134" s="21" t="s">
        <v>61</v>
      </c>
      <c r="Y134" s="23">
        <v>46182.0</v>
      </c>
    </row>
    <row r="135" ht="22.5" customHeight="1">
      <c r="A135" s="20">
        <v>46182.33181466435</v>
      </c>
      <c r="B135" s="21" t="s">
        <v>32</v>
      </c>
      <c r="C135" s="21" t="s">
        <v>33</v>
      </c>
      <c r="D135" s="21" t="s">
        <v>49</v>
      </c>
      <c r="E135" s="21">
        <v>14.0</v>
      </c>
      <c r="F135" s="21" t="s">
        <v>36</v>
      </c>
      <c r="Q135" s="21">
        <v>3.0</v>
      </c>
      <c r="S135" s="21">
        <v>1.0</v>
      </c>
      <c r="V135" s="22">
        <f t="shared" si="1"/>
        <v>325</v>
      </c>
      <c r="W135" s="21" t="s">
        <v>29</v>
      </c>
      <c r="X135" s="21" t="s">
        <v>50</v>
      </c>
      <c r="Y135" s="23">
        <v>46182.0</v>
      </c>
    </row>
    <row r="136" ht="22.5" customHeight="1">
      <c r="A136" s="20">
        <v>46182.33234388889</v>
      </c>
      <c r="B136" s="21" t="s">
        <v>32</v>
      </c>
      <c r="C136" s="21" t="s">
        <v>33</v>
      </c>
      <c r="D136" s="21" t="s">
        <v>49</v>
      </c>
      <c r="E136" s="21">
        <v>12.0</v>
      </c>
      <c r="F136" s="21" t="s">
        <v>31</v>
      </c>
      <c r="Q136" s="21">
        <v>2.0</v>
      </c>
      <c r="S136" s="21">
        <v>3.0</v>
      </c>
      <c r="V136" s="22">
        <f t="shared" si="1"/>
        <v>275</v>
      </c>
      <c r="W136" s="21" t="s">
        <v>29</v>
      </c>
      <c r="X136" s="21" t="s">
        <v>61</v>
      </c>
      <c r="Y136" s="23">
        <v>46182.0</v>
      </c>
    </row>
    <row r="137" ht="22.5" customHeight="1">
      <c r="A137" s="20">
        <v>46182.33291895833</v>
      </c>
      <c r="B137" s="21" t="s">
        <v>32</v>
      </c>
      <c r="C137" s="21" t="s">
        <v>33</v>
      </c>
      <c r="D137" s="21" t="s">
        <v>49</v>
      </c>
      <c r="E137" s="21">
        <v>12.0</v>
      </c>
      <c r="F137" s="21" t="s">
        <v>28</v>
      </c>
      <c r="S137" s="21">
        <v>7.0</v>
      </c>
      <c r="V137" s="22">
        <f t="shared" si="1"/>
        <v>175</v>
      </c>
      <c r="W137" s="21" t="s">
        <v>29</v>
      </c>
      <c r="X137" s="21" t="s">
        <v>61</v>
      </c>
      <c r="Y137" s="23">
        <v>46182.0</v>
      </c>
    </row>
    <row r="138" ht="22.5" customHeight="1">
      <c r="A138" s="20">
        <v>46182.333573958334</v>
      </c>
      <c r="B138" s="21" t="s">
        <v>32</v>
      </c>
      <c r="C138" s="21" t="s">
        <v>68</v>
      </c>
      <c r="D138" s="21" t="s">
        <v>27</v>
      </c>
      <c r="E138" s="21">
        <v>8.0</v>
      </c>
      <c r="F138" s="21" t="s">
        <v>44</v>
      </c>
      <c r="Q138" s="21">
        <v>1.0</v>
      </c>
      <c r="S138" s="21">
        <v>1.0</v>
      </c>
      <c r="V138" s="22">
        <f t="shared" si="1"/>
        <v>125</v>
      </c>
      <c r="W138" s="21" t="s">
        <v>29</v>
      </c>
      <c r="X138" s="21" t="s">
        <v>58</v>
      </c>
      <c r="Y138" s="23">
        <v>46182.0</v>
      </c>
    </row>
    <row r="139" ht="22.5" customHeight="1">
      <c r="A139" s="20">
        <v>46182.333988321756</v>
      </c>
      <c r="B139" s="21" t="s">
        <v>32</v>
      </c>
      <c r="C139" s="21" t="s">
        <v>67</v>
      </c>
      <c r="D139" s="21" t="s">
        <v>27</v>
      </c>
      <c r="E139" s="21">
        <v>8.0</v>
      </c>
      <c r="F139" s="21" t="s">
        <v>28</v>
      </c>
      <c r="Q139" s="21">
        <v>1.0</v>
      </c>
      <c r="S139" s="21">
        <v>1.0</v>
      </c>
      <c r="V139" s="22">
        <f t="shared" si="1"/>
        <v>125</v>
      </c>
      <c r="W139" s="21" t="s">
        <v>29</v>
      </c>
      <c r="X139" s="21" t="s">
        <v>58</v>
      </c>
      <c r="Y139" s="23">
        <v>46182.0</v>
      </c>
    </row>
    <row r="140" ht="22.5" customHeight="1">
      <c r="A140" s="20">
        <v>46182.334296886576</v>
      </c>
      <c r="B140" s="21" t="s">
        <v>32</v>
      </c>
      <c r="C140" s="21" t="s">
        <v>68</v>
      </c>
      <c r="D140" s="21" t="s">
        <v>27</v>
      </c>
      <c r="E140" s="21">
        <v>8.0</v>
      </c>
      <c r="F140" s="21" t="s">
        <v>36</v>
      </c>
      <c r="S140" s="21">
        <v>3.0</v>
      </c>
      <c r="V140" s="22">
        <f t="shared" si="1"/>
        <v>75</v>
      </c>
      <c r="W140" s="21" t="s">
        <v>29</v>
      </c>
      <c r="X140" s="21" t="s">
        <v>58</v>
      </c>
      <c r="Y140" s="23">
        <v>46182.0</v>
      </c>
    </row>
    <row r="141" ht="22.5" customHeight="1">
      <c r="A141" s="20">
        <v>46182.33568207176</v>
      </c>
      <c r="B141" s="21" t="s">
        <v>32</v>
      </c>
      <c r="C141" s="21" t="s">
        <v>68</v>
      </c>
      <c r="D141" s="21" t="s">
        <v>27</v>
      </c>
      <c r="E141" s="21">
        <v>10.0</v>
      </c>
      <c r="F141" s="21" t="s">
        <v>36</v>
      </c>
      <c r="Q141" s="21">
        <v>1.0</v>
      </c>
      <c r="V141" s="22">
        <f t="shared" si="1"/>
        <v>100</v>
      </c>
      <c r="W141" s="21" t="s">
        <v>29</v>
      </c>
      <c r="X141" s="21" t="s">
        <v>76</v>
      </c>
      <c r="Y141" s="23">
        <v>46182.0</v>
      </c>
    </row>
    <row r="142" ht="22.5" customHeight="1">
      <c r="A142" s="20">
        <v>46182.33606381944</v>
      </c>
      <c r="B142" s="21" t="s">
        <v>32</v>
      </c>
      <c r="C142" s="21" t="s">
        <v>68</v>
      </c>
      <c r="D142" s="21" t="s">
        <v>27</v>
      </c>
      <c r="E142" s="21">
        <v>10.0</v>
      </c>
      <c r="F142" s="21" t="s">
        <v>31</v>
      </c>
      <c r="Q142" s="21">
        <v>1.0</v>
      </c>
      <c r="V142" s="22">
        <f t="shared" si="1"/>
        <v>100</v>
      </c>
      <c r="W142" s="21" t="s">
        <v>29</v>
      </c>
      <c r="X142" s="21" t="s">
        <v>76</v>
      </c>
      <c r="Y142" s="23">
        <v>46182.0</v>
      </c>
    </row>
    <row r="143" ht="22.5" customHeight="1">
      <c r="A143" s="20">
        <v>46182.33732605324</v>
      </c>
      <c r="B143" s="21" t="s">
        <v>32</v>
      </c>
      <c r="C143" s="21" t="s">
        <v>68</v>
      </c>
      <c r="D143" s="21" t="s">
        <v>27</v>
      </c>
      <c r="E143" s="21">
        <v>12.0</v>
      </c>
      <c r="F143" s="21" t="s">
        <v>28</v>
      </c>
      <c r="Q143" s="21">
        <v>5.0</v>
      </c>
      <c r="S143" s="21">
        <v>7.0</v>
      </c>
      <c r="V143" s="22">
        <f t="shared" si="1"/>
        <v>675</v>
      </c>
      <c r="W143" s="21" t="s">
        <v>29</v>
      </c>
      <c r="X143" s="21" t="s">
        <v>73</v>
      </c>
      <c r="Y143" s="23">
        <v>46182.0</v>
      </c>
    </row>
    <row r="144" ht="22.5" customHeight="1">
      <c r="A144" s="20">
        <v>46182.33810259259</v>
      </c>
      <c r="B144" s="21" t="s">
        <v>32</v>
      </c>
      <c r="C144" s="21" t="s">
        <v>68</v>
      </c>
      <c r="D144" s="21" t="s">
        <v>27</v>
      </c>
      <c r="E144" s="21">
        <v>10.0</v>
      </c>
      <c r="F144" s="21" t="s">
        <v>44</v>
      </c>
      <c r="S144" s="21">
        <v>3.0</v>
      </c>
      <c r="V144" s="22">
        <f t="shared" si="1"/>
        <v>75</v>
      </c>
      <c r="W144" s="21" t="s">
        <v>29</v>
      </c>
      <c r="X144" s="21" t="s">
        <v>59</v>
      </c>
      <c r="Y144" s="23">
        <v>46182.0</v>
      </c>
    </row>
    <row r="145" ht="22.5" customHeight="1">
      <c r="A145" s="20">
        <v>46182.33908465278</v>
      </c>
      <c r="B145" s="21" t="s">
        <v>32</v>
      </c>
      <c r="C145" s="21" t="s">
        <v>68</v>
      </c>
      <c r="D145" s="21" t="s">
        <v>27</v>
      </c>
      <c r="E145" s="21">
        <v>12.0</v>
      </c>
      <c r="F145" s="21" t="s">
        <v>36</v>
      </c>
      <c r="Q145" s="21">
        <v>3.0</v>
      </c>
      <c r="S145" s="21">
        <v>1.0</v>
      </c>
      <c r="V145" s="22">
        <f t="shared" si="1"/>
        <v>325</v>
      </c>
      <c r="W145" s="21" t="s">
        <v>29</v>
      </c>
      <c r="X145" s="21" t="s">
        <v>77</v>
      </c>
      <c r="Y145" s="23">
        <v>46182.0</v>
      </c>
    </row>
    <row r="146" ht="22.5" customHeight="1">
      <c r="A146" s="20">
        <v>46182.33949105324</v>
      </c>
      <c r="B146" s="21" t="s">
        <v>32</v>
      </c>
      <c r="C146" s="21" t="s">
        <v>68</v>
      </c>
      <c r="D146" s="21" t="s">
        <v>27</v>
      </c>
      <c r="E146" s="21">
        <v>12.0</v>
      </c>
      <c r="F146" s="21" t="s">
        <v>31</v>
      </c>
      <c r="Q146" s="21">
        <v>4.0</v>
      </c>
      <c r="S146" s="21">
        <v>1.0</v>
      </c>
      <c r="V146" s="22">
        <f t="shared" si="1"/>
        <v>425</v>
      </c>
      <c r="W146" s="21" t="s">
        <v>29</v>
      </c>
      <c r="X146" s="21" t="s">
        <v>77</v>
      </c>
      <c r="Y146" s="23">
        <v>46182.0</v>
      </c>
    </row>
    <row r="147" ht="22.5" customHeight="1">
      <c r="A147" s="20">
        <v>46182.341795925924</v>
      </c>
      <c r="B147" s="21" t="s">
        <v>32</v>
      </c>
      <c r="C147" s="21" t="s">
        <v>68</v>
      </c>
      <c r="D147" s="21" t="s">
        <v>55</v>
      </c>
      <c r="E147" s="21">
        <v>12.0</v>
      </c>
      <c r="F147" s="21" t="s">
        <v>36</v>
      </c>
      <c r="Q147" s="21">
        <v>1.0</v>
      </c>
      <c r="S147" s="21">
        <v>3.0</v>
      </c>
      <c r="V147" s="22">
        <f t="shared" si="1"/>
        <v>175</v>
      </c>
      <c r="W147" s="21" t="s">
        <v>37</v>
      </c>
      <c r="X147" s="21" t="s">
        <v>78</v>
      </c>
      <c r="Y147" s="23">
        <v>46182.0</v>
      </c>
    </row>
    <row r="148" ht="22.5" customHeight="1">
      <c r="A148" s="20">
        <v>46183.31754954861</v>
      </c>
      <c r="B148" s="21" t="s">
        <v>32</v>
      </c>
      <c r="C148" s="21" t="s">
        <v>68</v>
      </c>
      <c r="D148" s="21" t="s">
        <v>55</v>
      </c>
      <c r="E148" s="21">
        <v>12.0</v>
      </c>
      <c r="F148" s="21" t="s">
        <v>44</v>
      </c>
      <c r="Q148" s="21">
        <v>240.0</v>
      </c>
      <c r="S148" s="21">
        <v>11.0</v>
      </c>
      <c r="V148" s="22">
        <f t="shared" si="1"/>
        <v>24275</v>
      </c>
      <c r="W148" s="21" t="s">
        <v>37</v>
      </c>
      <c r="X148" s="21" t="s">
        <v>74</v>
      </c>
      <c r="Y148" s="23">
        <v>46183.0</v>
      </c>
    </row>
    <row r="149" ht="22.5" customHeight="1">
      <c r="A149" s="20">
        <v>46183.318286319445</v>
      </c>
      <c r="B149" s="21" t="s">
        <v>25</v>
      </c>
      <c r="C149" s="21" t="s">
        <v>26</v>
      </c>
      <c r="D149" s="21" t="s">
        <v>55</v>
      </c>
      <c r="E149" s="21">
        <v>12.0</v>
      </c>
      <c r="F149" s="21" t="s">
        <v>44</v>
      </c>
      <c r="Q149" s="21">
        <v>180.0</v>
      </c>
      <c r="S149" s="21">
        <v>3.0</v>
      </c>
      <c r="V149" s="22">
        <f t="shared" si="1"/>
        <v>18075</v>
      </c>
      <c r="W149" s="21" t="s">
        <v>37</v>
      </c>
      <c r="X149" s="21" t="s">
        <v>74</v>
      </c>
      <c r="Y149" s="23">
        <v>46183.0</v>
      </c>
    </row>
    <row r="150" ht="22.5" customHeight="1">
      <c r="A150" s="20">
        <v>46183.31886320602</v>
      </c>
      <c r="B150" s="21" t="s">
        <v>32</v>
      </c>
      <c r="C150" s="21" t="s">
        <v>68</v>
      </c>
      <c r="D150" s="21" t="s">
        <v>55</v>
      </c>
      <c r="E150" s="21">
        <v>12.0</v>
      </c>
      <c r="F150" s="21" t="s">
        <v>44</v>
      </c>
      <c r="Q150" s="21">
        <v>320.0</v>
      </c>
      <c r="V150" s="22">
        <f t="shared" si="1"/>
        <v>32000</v>
      </c>
      <c r="W150" s="21" t="s">
        <v>37</v>
      </c>
      <c r="X150" s="21" t="s">
        <v>74</v>
      </c>
      <c r="Y150" s="23">
        <v>46183.0</v>
      </c>
    </row>
    <row r="151" ht="22.5" customHeight="1">
      <c r="A151" s="20">
        <v>46183.320167858794</v>
      </c>
      <c r="B151" s="21" t="s">
        <v>25</v>
      </c>
      <c r="C151" s="21" t="s">
        <v>26</v>
      </c>
      <c r="D151" s="21" t="s">
        <v>55</v>
      </c>
      <c r="E151" s="21">
        <v>12.0</v>
      </c>
      <c r="F151" s="21" t="s">
        <v>38</v>
      </c>
      <c r="Q151" s="21">
        <v>330.0</v>
      </c>
      <c r="V151" s="22">
        <f t="shared" si="1"/>
        <v>33000</v>
      </c>
      <c r="W151" s="21" t="s">
        <v>37</v>
      </c>
      <c r="X151" s="21" t="s">
        <v>74</v>
      </c>
      <c r="Y151" s="23">
        <v>46183.0</v>
      </c>
    </row>
    <row r="152" ht="22.5" customHeight="1">
      <c r="A152" s="20">
        <v>46183.32158886574</v>
      </c>
      <c r="B152" s="21" t="s">
        <v>32</v>
      </c>
      <c r="C152" s="21" t="s">
        <v>68</v>
      </c>
      <c r="D152" s="21" t="s">
        <v>55</v>
      </c>
      <c r="E152" s="21">
        <v>12.0</v>
      </c>
      <c r="F152" s="21" t="s">
        <v>31</v>
      </c>
      <c r="Q152" s="21">
        <v>24.0</v>
      </c>
      <c r="S152" s="21">
        <v>7.0</v>
      </c>
      <c r="V152" s="22">
        <f t="shared" si="1"/>
        <v>2575</v>
      </c>
      <c r="W152" s="21" t="s">
        <v>37</v>
      </c>
      <c r="X152" s="21" t="s">
        <v>74</v>
      </c>
      <c r="Y152" s="23">
        <v>46183.0</v>
      </c>
    </row>
    <row r="153" ht="22.5" customHeight="1">
      <c r="A153" s="20">
        <v>46183.32216496528</v>
      </c>
      <c r="B153" s="21" t="s">
        <v>32</v>
      </c>
      <c r="C153" s="21" t="s">
        <v>68</v>
      </c>
      <c r="D153" s="21" t="s">
        <v>27</v>
      </c>
      <c r="E153" s="21">
        <v>12.0</v>
      </c>
      <c r="F153" s="21" t="s">
        <v>38</v>
      </c>
      <c r="Q153" s="21">
        <v>10.0</v>
      </c>
      <c r="V153" s="22">
        <f t="shared" si="1"/>
        <v>1000</v>
      </c>
      <c r="W153" s="21" t="s">
        <v>29</v>
      </c>
      <c r="X153" s="21" t="s">
        <v>73</v>
      </c>
      <c r="Y153" s="23">
        <v>46183.0</v>
      </c>
    </row>
    <row r="154" ht="22.5" customHeight="1">
      <c r="A154" s="20">
        <v>46183.3237652199</v>
      </c>
      <c r="B154" s="21" t="s">
        <v>32</v>
      </c>
      <c r="C154" s="21" t="s">
        <v>68</v>
      </c>
      <c r="D154" s="21" t="s">
        <v>34</v>
      </c>
      <c r="E154" s="21" t="s">
        <v>42</v>
      </c>
      <c r="F154" s="21" t="s">
        <v>36</v>
      </c>
      <c r="Q154" s="21">
        <v>123.0</v>
      </c>
      <c r="V154" s="22">
        <f t="shared" si="1"/>
        <v>12300</v>
      </c>
      <c r="W154" s="21" t="s">
        <v>37</v>
      </c>
      <c r="X154" s="21" t="s">
        <v>79</v>
      </c>
      <c r="Y154" s="23">
        <v>46183.0</v>
      </c>
    </row>
    <row r="155" ht="22.5" customHeight="1">
      <c r="A155" s="20">
        <v>46183.32453201389</v>
      </c>
      <c r="B155" s="21" t="s">
        <v>25</v>
      </c>
      <c r="C155" s="21" t="s">
        <v>26</v>
      </c>
      <c r="D155" s="21" t="s">
        <v>34</v>
      </c>
      <c r="E155" s="21" t="s">
        <v>42</v>
      </c>
      <c r="F155" s="21" t="s">
        <v>36</v>
      </c>
      <c r="Q155" s="21">
        <v>174.0</v>
      </c>
      <c r="V155" s="22">
        <f t="shared" si="1"/>
        <v>17400</v>
      </c>
      <c r="W155" s="21" t="s">
        <v>37</v>
      </c>
      <c r="X155" s="21" t="s">
        <v>79</v>
      </c>
      <c r="Y155" s="23">
        <v>46183.0</v>
      </c>
    </row>
    <row r="156" ht="22.5" customHeight="1">
      <c r="A156" s="20">
        <v>46183.32508375</v>
      </c>
      <c r="B156" s="21" t="s">
        <v>32</v>
      </c>
      <c r="C156" s="21" t="s">
        <v>68</v>
      </c>
      <c r="D156" s="21" t="s">
        <v>53</v>
      </c>
      <c r="E156" s="21" t="s">
        <v>46</v>
      </c>
      <c r="F156" s="21" t="s">
        <v>31</v>
      </c>
      <c r="Q156" s="21">
        <v>72.0</v>
      </c>
      <c r="V156" s="22">
        <f t="shared" si="1"/>
        <v>7200</v>
      </c>
      <c r="W156" s="21" t="s">
        <v>37</v>
      </c>
      <c r="X156" s="21" t="s">
        <v>80</v>
      </c>
      <c r="Y156" s="23">
        <v>46183.0</v>
      </c>
    </row>
    <row r="157" ht="22.5" customHeight="1">
      <c r="A157" s="20">
        <v>46183.3256137037</v>
      </c>
      <c r="B157" s="21" t="s">
        <v>32</v>
      </c>
      <c r="C157" s="21" t="s">
        <v>68</v>
      </c>
      <c r="D157" s="21" t="s">
        <v>53</v>
      </c>
      <c r="E157" s="21" t="s">
        <v>46</v>
      </c>
      <c r="F157" s="21" t="s">
        <v>31</v>
      </c>
      <c r="Q157" s="21">
        <v>73.0</v>
      </c>
      <c r="V157" s="22">
        <f t="shared" si="1"/>
        <v>7300</v>
      </c>
      <c r="W157" s="21" t="s">
        <v>37</v>
      </c>
      <c r="X157" s="21" t="s">
        <v>80</v>
      </c>
      <c r="Y157" s="23">
        <v>46183.0</v>
      </c>
    </row>
    <row r="158" ht="22.5" customHeight="1">
      <c r="A158" s="20">
        <v>46183.326207094906</v>
      </c>
      <c r="B158" s="21" t="s">
        <v>32</v>
      </c>
      <c r="C158" s="21" t="s">
        <v>62</v>
      </c>
      <c r="D158" s="21" t="s">
        <v>53</v>
      </c>
      <c r="E158" s="21" t="s">
        <v>46</v>
      </c>
      <c r="F158" s="21" t="s">
        <v>31</v>
      </c>
      <c r="I158" s="21">
        <v>6.0</v>
      </c>
      <c r="V158" s="22">
        <f t="shared" si="1"/>
        <v>3000</v>
      </c>
      <c r="W158" s="21" t="s">
        <v>37</v>
      </c>
      <c r="X158" s="21" t="s">
        <v>80</v>
      </c>
      <c r="Y158" s="23">
        <v>46183.0</v>
      </c>
    </row>
    <row r="159" ht="22.5" customHeight="1">
      <c r="A159" s="20">
        <v>46183.329027430555</v>
      </c>
      <c r="B159" s="21" t="s">
        <v>25</v>
      </c>
      <c r="C159" s="21" t="s">
        <v>81</v>
      </c>
      <c r="D159" s="21" t="s">
        <v>27</v>
      </c>
      <c r="E159" s="21">
        <v>12.0</v>
      </c>
      <c r="F159" s="21" t="s">
        <v>28</v>
      </c>
      <c r="I159" s="21">
        <v>20.0</v>
      </c>
      <c r="V159" s="22">
        <f t="shared" si="1"/>
        <v>10000</v>
      </c>
      <c r="W159" s="21" t="s">
        <v>29</v>
      </c>
      <c r="X159" s="21" t="s">
        <v>73</v>
      </c>
      <c r="Y159" s="23">
        <v>46183.0</v>
      </c>
    </row>
    <row r="160" ht="22.5" customHeight="1">
      <c r="A160" s="20">
        <v>46184.32234597222</v>
      </c>
      <c r="B160" s="21" t="s">
        <v>25</v>
      </c>
      <c r="C160" s="21" t="s">
        <v>26</v>
      </c>
      <c r="D160" s="21" t="s">
        <v>55</v>
      </c>
      <c r="E160" s="21">
        <v>12.0</v>
      </c>
      <c r="F160" s="21" t="s">
        <v>36</v>
      </c>
      <c r="Q160" s="21">
        <v>80.0</v>
      </c>
      <c r="S160" s="21">
        <v>5.0</v>
      </c>
      <c r="V160" s="22">
        <f t="shared" si="1"/>
        <v>8125</v>
      </c>
      <c r="W160" s="21" t="s">
        <v>37</v>
      </c>
      <c r="X160" s="21" t="s">
        <v>74</v>
      </c>
      <c r="Y160" s="23">
        <v>46184.0</v>
      </c>
    </row>
    <row r="161" ht="22.5" customHeight="1">
      <c r="A161" s="20">
        <v>46184.32300563657</v>
      </c>
      <c r="B161" s="21" t="s">
        <v>25</v>
      </c>
      <c r="C161" s="21" t="s">
        <v>26</v>
      </c>
      <c r="D161" s="21" t="s">
        <v>55</v>
      </c>
      <c r="E161" s="21">
        <v>12.0</v>
      </c>
      <c r="F161" s="21" t="s">
        <v>36</v>
      </c>
      <c r="Q161" s="21">
        <v>400.0</v>
      </c>
      <c r="V161" s="22">
        <f t="shared" si="1"/>
        <v>40000</v>
      </c>
      <c r="W161" s="21" t="s">
        <v>37</v>
      </c>
      <c r="X161" s="21" t="s">
        <v>74</v>
      </c>
      <c r="Y161" s="23">
        <v>46184.0</v>
      </c>
    </row>
    <row r="162" ht="22.5" customHeight="1">
      <c r="A162" s="20">
        <v>46184.32421341435</v>
      </c>
      <c r="B162" s="21" t="s">
        <v>25</v>
      </c>
      <c r="C162" s="21" t="s">
        <v>26</v>
      </c>
      <c r="D162" s="21" t="s">
        <v>55</v>
      </c>
      <c r="E162" s="21">
        <v>12.0</v>
      </c>
      <c r="F162" s="21" t="s">
        <v>28</v>
      </c>
      <c r="Q162" s="21">
        <v>400.0</v>
      </c>
      <c r="V162" s="22">
        <f t="shared" si="1"/>
        <v>40000</v>
      </c>
      <c r="W162" s="21" t="s">
        <v>37</v>
      </c>
      <c r="X162" s="21" t="s">
        <v>74</v>
      </c>
      <c r="Y162" s="23">
        <v>46184.0</v>
      </c>
    </row>
    <row r="163" ht="22.5" customHeight="1">
      <c r="A163" s="20">
        <v>46184.32484221065</v>
      </c>
      <c r="B163" s="21" t="s">
        <v>25</v>
      </c>
      <c r="C163" s="21" t="s">
        <v>26</v>
      </c>
      <c r="D163" s="21" t="s">
        <v>55</v>
      </c>
      <c r="E163" s="21">
        <v>12.0</v>
      </c>
      <c r="F163" s="21" t="s">
        <v>28</v>
      </c>
      <c r="Q163" s="21">
        <v>260.0</v>
      </c>
      <c r="S163" s="21">
        <v>6.0</v>
      </c>
      <c r="V163" s="22">
        <f t="shared" si="1"/>
        <v>26150</v>
      </c>
      <c r="W163" s="21" t="s">
        <v>37</v>
      </c>
      <c r="X163" s="21" t="s">
        <v>74</v>
      </c>
      <c r="Y163" s="23">
        <v>46184.0</v>
      </c>
    </row>
    <row r="164" ht="22.5" customHeight="1">
      <c r="A164" s="20">
        <v>46184.3254684375</v>
      </c>
      <c r="B164" s="21" t="s">
        <v>32</v>
      </c>
      <c r="C164" s="21" t="s">
        <v>68</v>
      </c>
      <c r="D164" s="21" t="s">
        <v>55</v>
      </c>
      <c r="E164" s="21">
        <v>12.0</v>
      </c>
      <c r="F164" s="21" t="s">
        <v>28</v>
      </c>
      <c r="Q164" s="21">
        <v>120.0</v>
      </c>
      <c r="V164" s="22">
        <f t="shared" si="1"/>
        <v>12000</v>
      </c>
      <c r="W164" s="21" t="s">
        <v>37</v>
      </c>
      <c r="X164" s="21" t="s">
        <v>74</v>
      </c>
      <c r="Y164" s="23">
        <v>46184.0</v>
      </c>
    </row>
    <row r="165" ht="22.5" customHeight="1">
      <c r="A165" s="20">
        <v>46184.32669215278</v>
      </c>
      <c r="B165" s="21" t="s">
        <v>32</v>
      </c>
      <c r="C165" s="21" t="s">
        <v>68</v>
      </c>
      <c r="D165" s="21" t="s">
        <v>55</v>
      </c>
      <c r="E165" s="21">
        <v>12.0</v>
      </c>
      <c r="F165" s="21" t="s">
        <v>39</v>
      </c>
      <c r="Q165" s="21">
        <v>298.0</v>
      </c>
      <c r="S165" s="21">
        <v>5.0</v>
      </c>
      <c r="V165" s="22">
        <f t="shared" si="1"/>
        <v>29925</v>
      </c>
      <c r="W165" s="21" t="s">
        <v>37</v>
      </c>
      <c r="X165" s="21" t="s">
        <v>74</v>
      </c>
      <c r="Y165" s="23">
        <v>46184.0</v>
      </c>
    </row>
    <row r="166" ht="22.5" customHeight="1">
      <c r="A166" s="20">
        <v>46184.32741621528</v>
      </c>
      <c r="B166" s="21" t="s">
        <v>32</v>
      </c>
      <c r="C166" s="21" t="s">
        <v>68</v>
      </c>
      <c r="D166" s="21" t="s">
        <v>55</v>
      </c>
      <c r="E166" s="21">
        <v>12.0</v>
      </c>
      <c r="F166" s="21" t="s">
        <v>38</v>
      </c>
      <c r="Q166" s="21">
        <v>237.0</v>
      </c>
      <c r="S166" s="21">
        <v>8.0</v>
      </c>
      <c r="V166" s="22">
        <f t="shared" si="1"/>
        <v>23900</v>
      </c>
      <c r="W166" s="21" t="s">
        <v>37</v>
      </c>
      <c r="X166" s="21" t="s">
        <v>74</v>
      </c>
      <c r="Y166" s="23">
        <v>46184.0</v>
      </c>
    </row>
    <row r="167" ht="22.5" customHeight="1">
      <c r="A167" s="20">
        <v>46184.3282925463</v>
      </c>
      <c r="B167" s="21" t="s">
        <v>32</v>
      </c>
      <c r="C167" s="21" t="s">
        <v>68</v>
      </c>
      <c r="D167" s="21" t="s">
        <v>53</v>
      </c>
      <c r="E167" s="21" t="s">
        <v>46</v>
      </c>
      <c r="F167" s="21" t="s">
        <v>31</v>
      </c>
      <c r="Q167" s="21">
        <v>110.0</v>
      </c>
      <c r="S167" s="21">
        <v>5.0</v>
      </c>
      <c r="V167" s="22">
        <f t="shared" si="1"/>
        <v>11125</v>
      </c>
      <c r="W167" s="21" t="s">
        <v>37</v>
      </c>
      <c r="X167" s="21" t="s">
        <v>80</v>
      </c>
      <c r="Y167" s="23">
        <v>46184.0</v>
      </c>
    </row>
    <row r="168" ht="22.5" customHeight="1">
      <c r="A168" s="20">
        <v>46184.32896135417</v>
      </c>
      <c r="B168" s="21" t="s">
        <v>32</v>
      </c>
      <c r="C168" s="21" t="s">
        <v>68</v>
      </c>
      <c r="D168" s="21" t="s">
        <v>34</v>
      </c>
      <c r="E168" s="21" t="s">
        <v>42</v>
      </c>
      <c r="F168" s="21" t="s">
        <v>36</v>
      </c>
      <c r="Q168" s="21">
        <v>170.0</v>
      </c>
      <c r="V168" s="22">
        <f t="shared" si="1"/>
        <v>17000</v>
      </c>
      <c r="W168" s="21" t="s">
        <v>37</v>
      </c>
      <c r="X168" s="21" t="s">
        <v>79</v>
      </c>
      <c r="Y168" s="23">
        <v>46184.0</v>
      </c>
    </row>
    <row r="169" ht="22.5" customHeight="1">
      <c r="A169" s="20">
        <v>46184.32957266204</v>
      </c>
      <c r="B169" s="21" t="s">
        <v>32</v>
      </c>
      <c r="C169" s="21" t="s">
        <v>68</v>
      </c>
      <c r="D169" s="21" t="s">
        <v>34</v>
      </c>
      <c r="E169" s="21" t="s">
        <v>42</v>
      </c>
      <c r="F169" s="21" t="s">
        <v>36</v>
      </c>
      <c r="Q169" s="21">
        <v>185.0</v>
      </c>
      <c r="V169" s="22">
        <f t="shared" si="1"/>
        <v>18500</v>
      </c>
      <c r="W169" s="21" t="s">
        <v>37</v>
      </c>
      <c r="X169" s="21" t="s">
        <v>79</v>
      </c>
      <c r="Y169" s="23">
        <v>46184.0</v>
      </c>
    </row>
    <row r="170" ht="22.5" customHeight="1">
      <c r="A170" s="20">
        <v>46184.33920725694</v>
      </c>
      <c r="B170" s="21" t="s">
        <v>32</v>
      </c>
      <c r="C170" s="21" t="s">
        <v>75</v>
      </c>
      <c r="D170" s="21" t="s">
        <v>53</v>
      </c>
      <c r="E170" s="21" t="s">
        <v>42</v>
      </c>
      <c r="F170" s="21" t="s">
        <v>31</v>
      </c>
      <c r="Q170" s="21">
        <v>75.0</v>
      </c>
      <c r="S170" s="21">
        <v>1.0</v>
      </c>
      <c r="V170" s="22">
        <f t="shared" si="1"/>
        <v>7525</v>
      </c>
      <c r="W170" s="21" t="s">
        <v>37</v>
      </c>
      <c r="X170" s="21" t="s">
        <v>82</v>
      </c>
      <c r="Y170" s="23">
        <v>46184.0</v>
      </c>
    </row>
    <row r="171" ht="22.5" customHeight="1">
      <c r="A171" s="20">
        <v>46185.32518105324</v>
      </c>
      <c r="B171" s="21" t="s">
        <v>25</v>
      </c>
      <c r="C171" s="21" t="s">
        <v>26</v>
      </c>
      <c r="D171" s="21" t="s">
        <v>55</v>
      </c>
      <c r="E171" s="21">
        <v>14.0</v>
      </c>
      <c r="F171" s="21" t="s">
        <v>38</v>
      </c>
      <c r="Q171" s="21">
        <v>216.0</v>
      </c>
      <c r="V171" s="22">
        <f t="shared" si="1"/>
        <v>21600</v>
      </c>
      <c r="W171" s="21" t="s">
        <v>37</v>
      </c>
      <c r="X171" s="21" t="s">
        <v>83</v>
      </c>
      <c r="Y171" s="23">
        <v>46185.0</v>
      </c>
    </row>
    <row r="172" ht="22.5" customHeight="1">
      <c r="A172" s="20">
        <v>46185.32613560185</v>
      </c>
      <c r="B172" s="21" t="s">
        <v>32</v>
      </c>
      <c r="C172" s="21" t="s">
        <v>68</v>
      </c>
      <c r="D172" s="21" t="s">
        <v>55</v>
      </c>
      <c r="E172" s="21">
        <v>12.0</v>
      </c>
      <c r="F172" s="21" t="s">
        <v>28</v>
      </c>
      <c r="Q172" s="21">
        <v>359.0</v>
      </c>
      <c r="S172" s="21">
        <v>4.0</v>
      </c>
      <c r="V172" s="22">
        <f t="shared" si="1"/>
        <v>36000</v>
      </c>
      <c r="W172" s="21" t="s">
        <v>37</v>
      </c>
      <c r="X172" s="21" t="s">
        <v>74</v>
      </c>
      <c r="Y172" s="23">
        <v>46185.0</v>
      </c>
    </row>
    <row r="173" ht="22.5" customHeight="1">
      <c r="A173" s="20">
        <v>46185.32687828704</v>
      </c>
      <c r="B173" s="21" t="s">
        <v>32</v>
      </c>
      <c r="C173" s="21" t="s">
        <v>68</v>
      </c>
      <c r="D173" s="21" t="s">
        <v>55</v>
      </c>
      <c r="E173" s="21">
        <v>12.0</v>
      </c>
      <c r="F173" s="21" t="s">
        <v>36</v>
      </c>
      <c r="Q173" s="21">
        <v>320.0</v>
      </c>
      <c r="S173" s="21">
        <v>8.0</v>
      </c>
      <c r="V173" s="22">
        <f t="shared" si="1"/>
        <v>32200</v>
      </c>
      <c r="W173" s="21" t="s">
        <v>37</v>
      </c>
      <c r="X173" s="21" t="s">
        <v>74</v>
      </c>
      <c r="Y173" s="23">
        <v>46185.0</v>
      </c>
    </row>
    <row r="174" ht="22.5" customHeight="1">
      <c r="A174" s="20">
        <v>46185.3275928588</v>
      </c>
      <c r="B174" s="21" t="s">
        <v>32</v>
      </c>
      <c r="C174" s="21" t="s">
        <v>68</v>
      </c>
      <c r="D174" s="21" t="s">
        <v>55</v>
      </c>
      <c r="E174" s="21">
        <v>12.0</v>
      </c>
      <c r="F174" s="21" t="s">
        <v>36</v>
      </c>
      <c r="Q174" s="21">
        <v>199.0</v>
      </c>
      <c r="S174" s="21">
        <v>3.0</v>
      </c>
      <c r="V174" s="22">
        <f t="shared" si="1"/>
        <v>19975</v>
      </c>
      <c r="W174" s="21" t="s">
        <v>37</v>
      </c>
      <c r="X174" s="21" t="s">
        <v>74</v>
      </c>
      <c r="Y174" s="23">
        <v>46185.0</v>
      </c>
    </row>
    <row r="175" ht="22.5" customHeight="1">
      <c r="A175" s="20">
        <v>46185.32845759259</v>
      </c>
      <c r="B175" s="21" t="s">
        <v>32</v>
      </c>
      <c r="C175" s="21" t="s">
        <v>68</v>
      </c>
      <c r="D175" s="21" t="s">
        <v>84</v>
      </c>
      <c r="E175" s="21">
        <v>16.0</v>
      </c>
      <c r="F175" s="21" t="s">
        <v>28</v>
      </c>
      <c r="Q175" s="21">
        <v>104.0</v>
      </c>
      <c r="V175" s="22">
        <f t="shared" si="1"/>
        <v>10400</v>
      </c>
      <c r="W175" s="21" t="s">
        <v>37</v>
      </c>
      <c r="X175" s="21" t="s">
        <v>85</v>
      </c>
      <c r="Y175" s="23">
        <v>46185.0</v>
      </c>
    </row>
    <row r="176" ht="22.5" customHeight="1">
      <c r="A176" s="20">
        <v>46185.32923930556</v>
      </c>
      <c r="B176" s="21" t="s">
        <v>25</v>
      </c>
      <c r="C176" s="21" t="s">
        <v>26</v>
      </c>
      <c r="D176" s="21" t="s">
        <v>84</v>
      </c>
      <c r="E176" s="21">
        <v>16.0</v>
      </c>
      <c r="F176" s="21" t="s">
        <v>44</v>
      </c>
      <c r="Q176" s="21">
        <v>50.0</v>
      </c>
      <c r="V176" s="22">
        <f t="shared" si="1"/>
        <v>5000</v>
      </c>
      <c r="W176" s="21" t="s">
        <v>37</v>
      </c>
      <c r="X176" s="21" t="s">
        <v>85</v>
      </c>
      <c r="Y176" s="23">
        <v>46185.0</v>
      </c>
    </row>
    <row r="177" ht="22.5" customHeight="1">
      <c r="A177" s="20">
        <v>46185.32996364583</v>
      </c>
      <c r="B177" s="21" t="s">
        <v>25</v>
      </c>
      <c r="C177" s="21" t="s">
        <v>26</v>
      </c>
      <c r="D177" s="21" t="s">
        <v>84</v>
      </c>
      <c r="E177" s="21">
        <v>16.0</v>
      </c>
      <c r="F177" s="21" t="s">
        <v>36</v>
      </c>
      <c r="Q177" s="21">
        <v>86.0</v>
      </c>
      <c r="V177" s="22">
        <f t="shared" si="1"/>
        <v>8600</v>
      </c>
      <c r="W177" s="21" t="s">
        <v>37</v>
      </c>
      <c r="X177" s="21" t="s">
        <v>85</v>
      </c>
      <c r="Y177" s="23">
        <v>46185.0</v>
      </c>
    </row>
    <row r="178" ht="22.5" customHeight="1">
      <c r="A178" s="20">
        <v>46185.330740011574</v>
      </c>
      <c r="B178" s="21" t="s">
        <v>25</v>
      </c>
      <c r="C178" s="21" t="s">
        <v>26</v>
      </c>
      <c r="D178" s="21" t="s">
        <v>84</v>
      </c>
      <c r="E178" s="21">
        <v>16.0</v>
      </c>
      <c r="F178" s="21" t="s">
        <v>31</v>
      </c>
      <c r="Q178" s="21">
        <v>124.0</v>
      </c>
      <c r="V178" s="22">
        <f t="shared" si="1"/>
        <v>12400</v>
      </c>
      <c r="W178" s="21" t="s">
        <v>37</v>
      </c>
      <c r="X178" s="21" t="s">
        <v>85</v>
      </c>
      <c r="Y178" s="23">
        <v>46185.0</v>
      </c>
    </row>
    <row r="179" ht="22.5" customHeight="1">
      <c r="A179" s="20">
        <v>46185.331553553246</v>
      </c>
      <c r="B179" s="21" t="s">
        <v>25</v>
      </c>
      <c r="C179" s="21" t="s">
        <v>26</v>
      </c>
      <c r="D179" s="21" t="s">
        <v>55</v>
      </c>
      <c r="E179" s="21">
        <v>12.0</v>
      </c>
      <c r="F179" s="21" t="s">
        <v>36</v>
      </c>
      <c r="Q179" s="21">
        <v>247.0</v>
      </c>
      <c r="V179" s="22">
        <f t="shared" si="1"/>
        <v>24700</v>
      </c>
      <c r="W179" s="21" t="s">
        <v>37</v>
      </c>
      <c r="X179" s="21" t="s">
        <v>74</v>
      </c>
      <c r="Y179" s="23">
        <v>46185.0</v>
      </c>
    </row>
    <row r="180" ht="22.5" customHeight="1">
      <c r="A180" s="20">
        <v>46185.332541909724</v>
      </c>
      <c r="B180" s="21" t="s">
        <v>32</v>
      </c>
      <c r="C180" s="21" t="s">
        <v>62</v>
      </c>
      <c r="D180" s="21" t="s">
        <v>34</v>
      </c>
      <c r="E180" s="21" t="s">
        <v>51</v>
      </c>
      <c r="F180" s="21" t="s">
        <v>36</v>
      </c>
      <c r="I180" s="21">
        <v>41.0</v>
      </c>
      <c r="V180" s="22">
        <f t="shared" si="1"/>
        <v>20500</v>
      </c>
      <c r="W180" s="21" t="s">
        <v>37</v>
      </c>
      <c r="X180" s="21" t="s">
        <v>52</v>
      </c>
      <c r="Y180" s="23">
        <v>46185.0</v>
      </c>
    </row>
    <row r="181" ht="22.5" customHeight="1">
      <c r="A181" s="20">
        <v>46185.334108043986</v>
      </c>
      <c r="B181" s="21" t="s">
        <v>32</v>
      </c>
      <c r="C181" s="21" t="s">
        <v>68</v>
      </c>
      <c r="D181" s="21" t="s">
        <v>34</v>
      </c>
      <c r="E181" s="21" t="s">
        <v>42</v>
      </c>
      <c r="F181" s="21" t="s">
        <v>36</v>
      </c>
      <c r="Q181" s="21">
        <v>66.0</v>
      </c>
      <c r="S181" s="21">
        <v>6.0</v>
      </c>
      <c r="V181" s="22">
        <f t="shared" si="1"/>
        <v>6750</v>
      </c>
      <c r="W181" s="21" t="s">
        <v>37</v>
      </c>
      <c r="X181" s="21" t="s">
        <v>79</v>
      </c>
      <c r="Y181" s="23">
        <v>46185.0</v>
      </c>
    </row>
    <row r="182" ht="22.5" customHeight="1">
      <c r="A182" s="20">
        <v>46185.33629885416</v>
      </c>
      <c r="B182" s="21" t="s">
        <v>32</v>
      </c>
      <c r="C182" s="21" t="s">
        <v>68</v>
      </c>
      <c r="D182" s="21" t="s">
        <v>34</v>
      </c>
      <c r="E182" s="21" t="s">
        <v>46</v>
      </c>
      <c r="F182" s="21" t="s">
        <v>36</v>
      </c>
      <c r="Q182" s="21">
        <v>76.0</v>
      </c>
      <c r="V182" s="22">
        <f t="shared" si="1"/>
        <v>7600</v>
      </c>
      <c r="W182" s="21" t="s">
        <v>37</v>
      </c>
      <c r="X182" s="21" t="s">
        <v>86</v>
      </c>
      <c r="Y182" s="23">
        <v>46185.0</v>
      </c>
    </row>
    <row r="183" ht="22.5" customHeight="1">
      <c r="A183" s="20">
        <v>46185.33720113426</v>
      </c>
      <c r="B183" s="21" t="s">
        <v>25</v>
      </c>
      <c r="C183" s="21" t="s">
        <v>26</v>
      </c>
      <c r="D183" s="21" t="s">
        <v>34</v>
      </c>
      <c r="E183" s="21" t="s">
        <v>46</v>
      </c>
      <c r="F183" s="21" t="s">
        <v>36</v>
      </c>
      <c r="Q183" s="21">
        <v>150.0</v>
      </c>
      <c r="V183" s="22">
        <f t="shared" si="1"/>
        <v>15000</v>
      </c>
      <c r="W183" s="21" t="s">
        <v>37</v>
      </c>
      <c r="X183" s="21" t="s">
        <v>86</v>
      </c>
      <c r="Y183" s="23">
        <v>46185.0</v>
      </c>
    </row>
    <row r="184" ht="22.5" customHeight="1">
      <c r="A184" s="20">
        <v>46185.33812273148</v>
      </c>
      <c r="B184" s="21" t="s">
        <v>32</v>
      </c>
      <c r="C184" s="21" t="s">
        <v>62</v>
      </c>
      <c r="D184" s="21" t="s">
        <v>53</v>
      </c>
      <c r="E184" s="21" t="s">
        <v>51</v>
      </c>
      <c r="F184" s="21" t="s">
        <v>31</v>
      </c>
      <c r="Q184" s="21">
        <v>73.0</v>
      </c>
      <c r="V184" s="22">
        <f t="shared" si="1"/>
        <v>7300</v>
      </c>
      <c r="W184" s="21" t="s">
        <v>37</v>
      </c>
      <c r="X184" s="21" t="s">
        <v>87</v>
      </c>
      <c r="Y184" s="23">
        <v>46185.0</v>
      </c>
    </row>
    <row r="185" ht="22.5" customHeight="1">
      <c r="A185" s="20">
        <v>46185.339200925926</v>
      </c>
      <c r="B185" s="21" t="s">
        <v>25</v>
      </c>
      <c r="C185" s="21" t="s">
        <v>88</v>
      </c>
      <c r="D185" s="21" t="s">
        <v>53</v>
      </c>
      <c r="E185" s="21" t="s">
        <v>51</v>
      </c>
      <c r="F185" s="21" t="s">
        <v>31</v>
      </c>
      <c r="Q185" s="21">
        <v>96.0</v>
      </c>
      <c r="V185" s="22">
        <f t="shared" si="1"/>
        <v>9600</v>
      </c>
      <c r="W185" s="21" t="s">
        <v>37</v>
      </c>
      <c r="X185" s="21" t="s">
        <v>87</v>
      </c>
      <c r="Y185" s="23">
        <v>46185.0</v>
      </c>
    </row>
    <row r="186" ht="22.5" customHeight="1">
      <c r="A186" s="20">
        <v>46185.33983321759</v>
      </c>
      <c r="B186" s="21" t="s">
        <v>32</v>
      </c>
      <c r="C186" s="21" t="s">
        <v>75</v>
      </c>
      <c r="D186" s="21" t="s">
        <v>53</v>
      </c>
      <c r="E186" s="21" t="s">
        <v>51</v>
      </c>
      <c r="F186" s="21" t="s">
        <v>31</v>
      </c>
      <c r="Q186" s="21">
        <v>59.0</v>
      </c>
      <c r="V186" s="22">
        <f t="shared" si="1"/>
        <v>5900</v>
      </c>
      <c r="W186" s="21" t="s">
        <v>37</v>
      </c>
      <c r="X186" s="21" t="s">
        <v>87</v>
      </c>
      <c r="Y186" s="23">
        <v>46185.0</v>
      </c>
    </row>
    <row r="187" ht="22.5" customHeight="1">
      <c r="A187" s="20">
        <v>46185.34176216435</v>
      </c>
      <c r="B187" s="21" t="s">
        <v>25</v>
      </c>
      <c r="C187" s="21" t="s">
        <v>26</v>
      </c>
      <c r="D187" s="21" t="s">
        <v>53</v>
      </c>
      <c r="E187" s="21" t="s">
        <v>42</v>
      </c>
      <c r="F187" s="21" t="s">
        <v>31</v>
      </c>
      <c r="Q187" s="21">
        <v>42.0</v>
      </c>
      <c r="V187" s="22">
        <f t="shared" si="1"/>
        <v>4200</v>
      </c>
      <c r="W187" s="21" t="s">
        <v>37</v>
      </c>
      <c r="X187" s="21" t="s">
        <v>82</v>
      </c>
      <c r="Y187" s="23">
        <v>46185.0</v>
      </c>
    </row>
    <row r="188" ht="22.5" customHeight="1">
      <c r="A188" s="20">
        <v>46188.34006224537</v>
      </c>
      <c r="B188" s="21" t="s">
        <v>32</v>
      </c>
      <c r="C188" s="21" t="s">
        <v>68</v>
      </c>
      <c r="D188" s="21" t="s">
        <v>55</v>
      </c>
      <c r="E188" s="21">
        <v>14.0</v>
      </c>
      <c r="F188" s="21" t="s">
        <v>39</v>
      </c>
      <c r="Q188" s="21">
        <v>238.0</v>
      </c>
      <c r="V188" s="22">
        <f t="shared" si="1"/>
        <v>23800</v>
      </c>
      <c r="W188" s="21" t="s">
        <v>37</v>
      </c>
      <c r="X188" s="21" t="s">
        <v>83</v>
      </c>
      <c r="Y188" s="23">
        <v>46188.0</v>
      </c>
    </row>
    <row r="189" ht="22.5" customHeight="1">
      <c r="A189" s="20">
        <v>46188.341770150466</v>
      </c>
      <c r="B189" s="21" t="s">
        <v>32</v>
      </c>
      <c r="C189" s="21" t="s">
        <v>68</v>
      </c>
      <c r="D189" s="21" t="s">
        <v>55</v>
      </c>
      <c r="E189" s="21">
        <v>14.0</v>
      </c>
      <c r="F189" s="21" t="s">
        <v>38</v>
      </c>
      <c r="Q189" s="21">
        <v>267.0</v>
      </c>
      <c r="V189" s="22">
        <f t="shared" si="1"/>
        <v>26700</v>
      </c>
      <c r="W189" s="21" t="s">
        <v>37</v>
      </c>
      <c r="X189" s="21" t="s">
        <v>83</v>
      </c>
      <c r="Y189" s="23">
        <v>46188.0</v>
      </c>
    </row>
    <row r="190" ht="22.5" customHeight="1">
      <c r="A190" s="20">
        <v>46188.34297528936</v>
      </c>
      <c r="B190" s="21" t="s">
        <v>32</v>
      </c>
      <c r="C190" s="21" t="s">
        <v>68</v>
      </c>
      <c r="D190" s="21" t="s">
        <v>55</v>
      </c>
      <c r="E190" s="21">
        <v>14.0</v>
      </c>
      <c r="F190" s="21" t="s">
        <v>28</v>
      </c>
      <c r="Q190" s="21">
        <v>212.0</v>
      </c>
      <c r="V190" s="22">
        <f t="shared" si="1"/>
        <v>21200</v>
      </c>
      <c r="W190" s="21" t="s">
        <v>37</v>
      </c>
      <c r="X190" s="21" t="s">
        <v>83</v>
      </c>
      <c r="Y190" s="23">
        <v>46188.0</v>
      </c>
    </row>
    <row r="191" ht="22.5" customHeight="1">
      <c r="A191" s="20">
        <v>46188.3437543287</v>
      </c>
      <c r="B191" s="21" t="s">
        <v>25</v>
      </c>
      <c r="C191" s="21" t="s">
        <v>26</v>
      </c>
      <c r="D191" s="21" t="s">
        <v>55</v>
      </c>
      <c r="E191" s="21">
        <v>14.0</v>
      </c>
      <c r="F191" s="21" t="s">
        <v>28</v>
      </c>
      <c r="Q191" s="21">
        <v>114.0</v>
      </c>
      <c r="V191" s="22">
        <f t="shared" si="1"/>
        <v>11400</v>
      </c>
      <c r="W191" s="21" t="s">
        <v>37</v>
      </c>
      <c r="X191" s="21" t="s">
        <v>83</v>
      </c>
      <c r="Y191" s="23">
        <v>46188.0</v>
      </c>
    </row>
    <row r="192" ht="22.5" customHeight="1">
      <c r="A192" s="20">
        <v>46188.344965428245</v>
      </c>
      <c r="B192" s="21" t="s">
        <v>25</v>
      </c>
      <c r="C192" s="21" t="s">
        <v>26</v>
      </c>
      <c r="D192" s="21" t="s">
        <v>55</v>
      </c>
      <c r="E192" s="21">
        <v>14.0</v>
      </c>
      <c r="F192" s="21" t="s">
        <v>28</v>
      </c>
      <c r="Q192" s="21">
        <v>300.0</v>
      </c>
      <c r="V192" s="22">
        <f t="shared" si="1"/>
        <v>30000</v>
      </c>
      <c r="W192" s="21" t="s">
        <v>37</v>
      </c>
      <c r="X192" s="21" t="s">
        <v>83</v>
      </c>
      <c r="Y192" s="23">
        <v>46188.0</v>
      </c>
    </row>
    <row r="193" ht="22.5" customHeight="1">
      <c r="A193" s="20">
        <v>46188.34662596065</v>
      </c>
      <c r="B193" s="21" t="s">
        <v>32</v>
      </c>
      <c r="C193" s="21" t="s">
        <v>68</v>
      </c>
      <c r="D193" s="21" t="s">
        <v>84</v>
      </c>
      <c r="E193" s="21">
        <v>16.0</v>
      </c>
      <c r="F193" s="21" t="s">
        <v>38</v>
      </c>
      <c r="Q193" s="21">
        <v>74.0</v>
      </c>
      <c r="S193" s="21">
        <v>3.0</v>
      </c>
      <c r="V193" s="22">
        <f t="shared" si="1"/>
        <v>7475</v>
      </c>
      <c r="W193" s="21" t="s">
        <v>37</v>
      </c>
      <c r="X193" s="21" t="s">
        <v>85</v>
      </c>
      <c r="Y193" s="23">
        <v>46188.0</v>
      </c>
    </row>
    <row r="194" ht="22.5" customHeight="1">
      <c r="A194" s="20">
        <v>46188.34728947916</v>
      </c>
      <c r="B194" s="21" t="s">
        <v>32</v>
      </c>
      <c r="C194" s="21" t="s">
        <v>68</v>
      </c>
      <c r="D194" s="21" t="s">
        <v>84</v>
      </c>
      <c r="E194" s="21">
        <v>16.0</v>
      </c>
      <c r="F194" s="21" t="s">
        <v>39</v>
      </c>
      <c r="Q194" s="21">
        <v>148.0</v>
      </c>
      <c r="V194" s="22">
        <f t="shared" si="1"/>
        <v>14800</v>
      </c>
      <c r="W194" s="21" t="s">
        <v>37</v>
      </c>
      <c r="X194" s="21" t="s">
        <v>85</v>
      </c>
      <c r="Y194" s="23">
        <v>46188.0</v>
      </c>
    </row>
    <row r="195" ht="22.5" customHeight="1">
      <c r="A195" s="20">
        <v>46188.348177418986</v>
      </c>
      <c r="B195" s="21" t="s">
        <v>32</v>
      </c>
      <c r="C195" s="21" t="s">
        <v>68</v>
      </c>
      <c r="D195" s="21" t="s">
        <v>34</v>
      </c>
      <c r="E195" s="21" t="s">
        <v>46</v>
      </c>
      <c r="F195" s="21" t="s">
        <v>36</v>
      </c>
      <c r="Q195" s="21">
        <v>140.0</v>
      </c>
      <c r="V195" s="22">
        <f t="shared" si="1"/>
        <v>14000</v>
      </c>
      <c r="W195" s="21" t="s">
        <v>37</v>
      </c>
      <c r="X195" s="21" t="s">
        <v>86</v>
      </c>
      <c r="Y195" s="23">
        <v>46188.0</v>
      </c>
    </row>
    <row r="196" ht="22.5" customHeight="1">
      <c r="A196" s="20">
        <v>46188.348930092594</v>
      </c>
      <c r="B196" s="21" t="s">
        <v>32</v>
      </c>
      <c r="C196" s="21" t="s">
        <v>68</v>
      </c>
      <c r="D196" s="21" t="s">
        <v>34</v>
      </c>
      <c r="E196" s="21" t="s">
        <v>46</v>
      </c>
      <c r="F196" s="21" t="s">
        <v>36</v>
      </c>
      <c r="Q196" s="21">
        <v>78.0</v>
      </c>
      <c r="V196" s="22">
        <f t="shared" si="1"/>
        <v>7800</v>
      </c>
      <c r="W196" s="21" t="s">
        <v>37</v>
      </c>
      <c r="X196" s="21" t="s">
        <v>86</v>
      </c>
      <c r="Y196" s="23">
        <v>46188.0</v>
      </c>
    </row>
    <row r="197" ht="22.5" customHeight="1">
      <c r="A197" s="20">
        <v>46188.34973880787</v>
      </c>
      <c r="B197" s="21" t="s">
        <v>25</v>
      </c>
      <c r="C197" s="21" t="s">
        <v>26</v>
      </c>
      <c r="D197" s="21" t="s">
        <v>34</v>
      </c>
      <c r="E197" s="21" t="s">
        <v>46</v>
      </c>
      <c r="F197" s="21" t="s">
        <v>36</v>
      </c>
      <c r="Q197" s="21">
        <v>146.0</v>
      </c>
      <c r="S197" s="21">
        <v>3.0</v>
      </c>
      <c r="V197" s="22">
        <f t="shared" si="1"/>
        <v>14675</v>
      </c>
      <c r="W197" s="21" t="s">
        <v>37</v>
      </c>
      <c r="X197" s="21" t="s">
        <v>86</v>
      </c>
      <c r="Y197" s="23">
        <v>46188.0</v>
      </c>
    </row>
    <row r="198" ht="22.5" customHeight="1">
      <c r="A198" s="20">
        <v>46188.351202164355</v>
      </c>
      <c r="B198" s="21" t="s">
        <v>25</v>
      </c>
      <c r="C198" s="21" t="s">
        <v>45</v>
      </c>
      <c r="D198" s="21" t="s">
        <v>53</v>
      </c>
      <c r="E198" s="21" t="s">
        <v>63</v>
      </c>
      <c r="F198" s="21" t="s">
        <v>31</v>
      </c>
      <c r="Q198" s="21">
        <v>33.0</v>
      </c>
      <c r="S198" s="21">
        <v>6.0</v>
      </c>
      <c r="V198" s="22">
        <f t="shared" si="1"/>
        <v>3450</v>
      </c>
      <c r="W198" s="21" t="s">
        <v>37</v>
      </c>
      <c r="X198" s="21" t="s">
        <v>89</v>
      </c>
      <c r="Y198" s="23">
        <v>46188.0</v>
      </c>
    </row>
    <row r="199" ht="22.5" customHeight="1">
      <c r="A199" s="20">
        <v>46188.35380138889</v>
      </c>
      <c r="B199" s="21" t="s">
        <v>25</v>
      </c>
      <c r="C199" s="21" t="s">
        <v>90</v>
      </c>
      <c r="D199" s="21" t="s">
        <v>53</v>
      </c>
      <c r="E199" s="21" t="s">
        <v>63</v>
      </c>
      <c r="F199" s="21" t="s">
        <v>31</v>
      </c>
      <c r="Q199" s="21">
        <v>60.0</v>
      </c>
      <c r="V199" s="22">
        <f t="shared" si="1"/>
        <v>6000</v>
      </c>
      <c r="W199" s="21" t="s">
        <v>37</v>
      </c>
      <c r="X199" s="21" t="s">
        <v>89</v>
      </c>
      <c r="Y199" s="23">
        <v>46188.0</v>
      </c>
    </row>
    <row r="200" ht="22.5" customHeight="1">
      <c r="A200" s="20">
        <v>46188.416247256944</v>
      </c>
      <c r="B200" s="21" t="s">
        <v>32</v>
      </c>
      <c r="C200" s="21" t="s">
        <v>67</v>
      </c>
      <c r="D200" s="21" t="s">
        <v>27</v>
      </c>
      <c r="E200" s="21">
        <v>10.0</v>
      </c>
      <c r="F200" s="21" t="s">
        <v>31</v>
      </c>
      <c r="S200" s="21">
        <v>21.0</v>
      </c>
      <c r="V200" s="22">
        <f t="shared" si="1"/>
        <v>525</v>
      </c>
      <c r="W200" s="21" t="s">
        <v>29</v>
      </c>
      <c r="X200" s="21" t="s">
        <v>76</v>
      </c>
      <c r="Y200" s="23">
        <v>46189.0</v>
      </c>
    </row>
    <row r="201" ht="22.5" customHeight="1">
      <c r="A201" s="20">
        <v>46188.41811525463</v>
      </c>
      <c r="B201" s="21" t="s">
        <v>32</v>
      </c>
      <c r="C201" s="21" t="s">
        <v>68</v>
      </c>
      <c r="D201" s="21" t="s">
        <v>55</v>
      </c>
      <c r="E201" s="21">
        <v>12.0</v>
      </c>
      <c r="F201" s="21" t="s">
        <v>31</v>
      </c>
      <c r="Q201" s="21">
        <v>3.0</v>
      </c>
      <c r="S201" s="21">
        <v>3.0</v>
      </c>
      <c r="V201" s="22">
        <f t="shared" si="1"/>
        <v>375</v>
      </c>
      <c r="W201" s="21" t="s">
        <v>37</v>
      </c>
      <c r="X201" s="21" t="s">
        <v>74</v>
      </c>
      <c r="Y201" s="23">
        <v>46189.0</v>
      </c>
    </row>
    <row r="202" ht="22.5" customHeight="1">
      <c r="A202" s="20">
        <v>46188.419494918984</v>
      </c>
      <c r="B202" s="21" t="s">
        <v>32</v>
      </c>
      <c r="C202" s="21" t="s">
        <v>67</v>
      </c>
      <c r="D202" s="21" t="s">
        <v>27</v>
      </c>
      <c r="E202" s="21">
        <v>8.0</v>
      </c>
      <c r="F202" s="21" t="s">
        <v>36</v>
      </c>
      <c r="Q202" s="21">
        <v>1.0</v>
      </c>
      <c r="S202" s="21">
        <v>3.0</v>
      </c>
      <c r="V202" s="22">
        <f t="shared" si="1"/>
        <v>175</v>
      </c>
      <c r="W202" s="21" t="s">
        <v>29</v>
      </c>
      <c r="X202" s="21" t="s">
        <v>58</v>
      </c>
      <c r="Y202" s="23">
        <v>46189.0</v>
      </c>
    </row>
    <row r="203" ht="22.5" customHeight="1">
      <c r="A203" s="20">
        <v>46188.42066078704</v>
      </c>
      <c r="B203" s="21" t="s">
        <v>32</v>
      </c>
      <c r="C203" s="21" t="s">
        <v>67</v>
      </c>
      <c r="D203" s="21" t="s">
        <v>27</v>
      </c>
      <c r="E203" s="21">
        <v>8.0</v>
      </c>
      <c r="F203" s="21" t="s">
        <v>44</v>
      </c>
      <c r="Q203" s="21">
        <v>4.0</v>
      </c>
      <c r="S203" s="21">
        <v>10.0</v>
      </c>
      <c r="V203" s="22">
        <f t="shared" si="1"/>
        <v>650</v>
      </c>
      <c r="W203" s="21" t="s">
        <v>37</v>
      </c>
      <c r="X203" s="21" t="s">
        <v>58</v>
      </c>
      <c r="Y203" s="23">
        <v>46189.0</v>
      </c>
    </row>
    <row r="204" ht="22.5" customHeight="1">
      <c r="A204" s="20">
        <v>46188.42143996528</v>
      </c>
      <c r="B204" s="21" t="s">
        <v>32</v>
      </c>
      <c r="C204" s="21" t="s">
        <v>67</v>
      </c>
      <c r="D204" s="21" t="s">
        <v>49</v>
      </c>
      <c r="E204" s="21">
        <v>12.0</v>
      </c>
      <c r="F204" s="21" t="s">
        <v>38</v>
      </c>
      <c r="Q204" s="21">
        <v>3.0</v>
      </c>
      <c r="S204" s="21">
        <v>3.0</v>
      </c>
      <c r="V204" s="22">
        <f t="shared" si="1"/>
        <v>375</v>
      </c>
      <c r="W204" s="21" t="s">
        <v>29</v>
      </c>
      <c r="X204" s="21" t="s">
        <v>61</v>
      </c>
      <c r="Y204" s="23">
        <v>46189.0</v>
      </c>
    </row>
    <row r="205" ht="22.5" customHeight="1">
      <c r="A205" s="20">
        <v>46188.42288986111</v>
      </c>
      <c r="B205" s="21" t="s">
        <v>32</v>
      </c>
      <c r="C205" s="21" t="s">
        <v>67</v>
      </c>
      <c r="D205" s="21" t="s">
        <v>27</v>
      </c>
      <c r="E205" s="21">
        <v>12.0</v>
      </c>
      <c r="F205" s="21" t="s">
        <v>38</v>
      </c>
      <c r="Q205" s="21">
        <v>1.0</v>
      </c>
      <c r="S205" s="21">
        <v>1.0</v>
      </c>
      <c r="V205" s="22">
        <f t="shared" si="1"/>
        <v>125</v>
      </c>
      <c r="W205" s="21" t="s">
        <v>29</v>
      </c>
      <c r="X205" s="21" t="s">
        <v>73</v>
      </c>
      <c r="Y205" s="23">
        <v>46189.0</v>
      </c>
    </row>
    <row r="206" ht="22.5" customHeight="1">
      <c r="A206" s="20">
        <v>46188.43860652778</v>
      </c>
      <c r="B206" s="21" t="s">
        <v>32</v>
      </c>
      <c r="C206" s="21" t="s">
        <v>67</v>
      </c>
      <c r="D206" s="21" t="s">
        <v>55</v>
      </c>
      <c r="E206" s="21">
        <v>12.0</v>
      </c>
      <c r="F206" s="21" t="s">
        <v>38</v>
      </c>
      <c r="Q206" s="21">
        <v>4.0</v>
      </c>
      <c r="S206" s="21">
        <v>14.0</v>
      </c>
      <c r="V206" s="22">
        <f t="shared" si="1"/>
        <v>750</v>
      </c>
      <c r="W206" s="21" t="s">
        <v>37</v>
      </c>
      <c r="X206" s="21" t="s">
        <v>74</v>
      </c>
      <c r="Y206" s="23">
        <v>46189.0</v>
      </c>
    </row>
    <row r="207" ht="22.5" customHeight="1">
      <c r="A207" s="20">
        <v>46188.44336173611</v>
      </c>
      <c r="B207" s="21" t="s">
        <v>32</v>
      </c>
      <c r="C207" s="21" t="s">
        <v>67</v>
      </c>
      <c r="D207" s="21" t="s">
        <v>55</v>
      </c>
      <c r="E207" s="21">
        <v>12.0</v>
      </c>
      <c r="F207" s="21" t="s">
        <v>38</v>
      </c>
      <c r="Q207" s="21">
        <v>4.0</v>
      </c>
      <c r="S207" s="21">
        <v>3.0</v>
      </c>
      <c r="V207" s="22">
        <f t="shared" si="1"/>
        <v>475</v>
      </c>
      <c r="W207" s="21" t="s">
        <v>37</v>
      </c>
      <c r="X207" s="21" t="s">
        <v>78</v>
      </c>
      <c r="Y207" s="23">
        <v>46189.0</v>
      </c>
    </row>
    <row r="208" ht="22.5" customHeight="1">
      <c r="A208" s="20">
        <v>46188.44758163195</v>
      </c>
      <c r="B208" s="21" t="s">
        <v>32</v>
      </c>
      <c r="C208" s="21" t="s">
        <v>68</v>
      </c>
      <c r="D208" s="21" t="s">
        <v>55</v>
      </c>
      <c r="E208" s="21">
        <v>12.0</v>
      </c>
      <c r="F208" s="21" t="s">
        <v>44</v>
      </c>
      <c r="Q208" s="21">
        <v>1.0</v>
      </c>
      <c r="S208" s="21">
        <v>7.0</v>
      </c>
      <c r="V208" s="22">
        <f t="shared" si="1"/>
        <v>275</v>
      </c>
      <c r="W208" s="21" t="s">
        <v>37</v>
      </c>
      <c r="X208" s="21" t="s">
        <v>74</v>
      </c>
      <c r="Y208" s="23">
        <v>46189.0</v>
      </c>
    </row>
    <row r="209" ht="22.5" customHeight="1">
      <c r="A209" s="20">
        <v>46188.45125027778</v>
      </c>
      <c r="B209" s="21" t="s">
        <v>32</v>
      </c>
      <c r="C209" s="21" t="s">
        <v>67</v>
      </c>
      <c r="D209" s="21" t="s">
        <v>55</v>
      </c>
      <c r="E209" s="21">
        <v>12.0</v>
      </c>
      <c r="F209" s="21" t="s">
        <v>39</v>
      </c>
      <c r="S209" s="21">
        <v>3.0</v>
      </c>
      <c r="V209" s="22">
        <f t="shared" si="1"/>
        <v>75</v>
      </c>
      <c r="W209" s="21" t="s">
        <v>37</v>
      </c>
      <c r="X209" s="21" t="s">
        <v>74</v>
      </c>
      <c r="Y209" s="23">
        <v>46189.0</v>
      </c>
    </row>
    <row r="210" ht="22.5" customHeight="1">
      <c r="A210" s="20">
        <v>46188.45224458333</v>
      </c>
      <c r="B210" s="21" t="s">
        <v>32</v>
      </c>
      <c r="C210" s="21" t="s">
        <v>67</v>
      </c>
      <c r="D210" s="21" t="s">
        <v>84</v>
      </c>
      <c r="E210" s="21">
        <v>16.0</v>
      </c>
      <c r="F210" s="21" t="s">
        <v>31</v>
      </c>
      <c r="Q210" s="21">
        <v>1.0</v>
      </c>
      <c r="S210" s="21">
        <v>6.0</v>
      </c>
      <c r="V210" s="22">
        <f t="shared" si="1"/>
        <v>250</v>
      </c>
      <c r="W210" s="21" t="s">
        <v>37</v>
      </c>
      <c r="X210" s="21" t="s">
        <v>85</v>
      </c>
      <c r="Y210" s="23">
        <v>46189.0</v>
      </c>
    </row>
    <row r="211" ht="22.5" customHeight="1">
      <c r="A211" s="20">
        <v>46188.45298392361</v>
      </c>
      <c r="B211" s="21" t="s">
        <v>32</v>
      </c>
      <c r="C211" s="21" t="s">
        <v>67</v>
      </c>
      <c r="D211" s="21" t="s">
        <v>84</v>
      </c>
      <c r="E211" s="21">
        <v>16.0</v>
      </c>
      <c r="F211" s="21" t="s">
        <v>36</v>
      </c>
      <c r="S211" s="21">
        <v>2.0</v>
      </c>
      <c r="V211" s="22">
        <f t="shared" si="1"/>
        <v>50</v>
      </c>
      <c r="W211" s="21" t="s">
        <v>37</v>
      </c>
      <c r="X211" s="21" t="s">
        <v>85</v>
      </c>
      <c r="Y211" s="23">
        <v>46189.0</v>
      </c>
    </row>
    <row r="212" ht="22.5" customHeight="1">
      <c r="A212" s="20">
        <v>46188.45383251157</v>
      </c>
      <c r="B212" s="21" t="s">
        <v>32</v>
      </c>
      <c r="C212" s="21" t="s">
        <v>67</v>
      </c>
      <c r="D212" s="21" t="s">
        <v>84</v>
      </c>
      <c r="E212" s="21">
        <v>16.0</v>
      </c>
      <c r="F212" s="21" t="s">
        <v>39</v>
      </c>
      <c r="S212" s="21">
        <v>5.0</v>
      </c>
      <c r="V212" s="22">
        <f t="shared" si="1"/>
        <v>125</v>
      </c>
      <c r="W212" s="21" t="s">
        <v>37</v>
      </c>
      <c r="X212" s="21" t="s">
        <v>85</v>
      </c>
      <c r="Y212" s="23">
        <v>46189.0</v>
      </c>
    </row>
    <row r="213" ht="22.5" customHeight="1">
      <c r="A213" s="20">
        <v>46188.454815185185</v>
      </c>
      <c r="B213" s="21" t="s">
        <v>32</v>
      </c>
      <c r="C213" s="21" t="s">
        <v>67</v>
      </c>
      <c r="D213" s="21" t="s">
        <v>55</v>
      </c>
      <c r="E213" s="21">
        <v>12.0</v>
      </c>
      <c r="F213" s="21" t="s">
        <v>28</v>
      </c>
      <c r="S213" s="21">
        <v>8.0</v>
      </c>
      <c r="V213" s="22">
        <f t="shared" si="1"/>
        <v>200</v>
      </c>
      <c r="W213" s="21" t="s">
        <v>37</v>
      </c>
      <c r="X213" s="21" t="s">
        <v>74</v>
      </c>
      <c r="Y213" s="23">
        <v>46189.0</v>
      </c>
    </row>
    <row r="214" ht="22.5" customHeight="1">
      <c r="A214" s="20">
        <v>46188.45864466435</v>
      </c>
      <c r="B214" s="21" t="s">
        <v>32</v>
      </c>
      <c r="C214" s="21" t="s">
        <v>67</v>
      </c>
      <c r="D214" s="21" t="s">
        <v>27</v>
      </c>
      <c r="E214" s="21">
        <v>12.0</v>
      </c>
      <c r="F214" s="21" t="s">
        <v>36</v>
      </c>
      <c r="Q214" s="21">
        <v>2.0</v>
      </c>
      <c r="S214" s="21">
        <v>7.0</v>
      </c>
      <c r="V214" s="22">
        <f t="shared" si="1"/>
        <v>375</v>
      </c>
      <c r="W214" s="21" t="s">
        <v>29</v>
      </c>
      <c r="X214" s="21" t="s">
        <v>73</v>
      </c>
      <c r="Y214" s="23">
        <v>46189.0</v>
      </c>
    </row>
    <row r="215" ht="22.5" customHeight="1">
      <c r="A215" s="20">
        <v>46188.460031423616</v>
      </c>
      <c r="B215" s="21" t="s">
        <v>32</v>
      </c>
      <c r="C215" s="21" t="s">
        <v>67</v>
      </c>
      <c r="D215" s="21" t="s">
        <v>55</v>
      </c>
      <c r="E215" s="21">
        <v>12.0</v>
      </c>
      <c r="F215" s="21" t="s">
        <v>31</v>
      </c>
      <c r="Q215" s="21">
        <v>4.0</v>
      </c>
      <c r="S215" s="21">
        <v>1.0</v>
      </c>
      <c r="V215" s="22">
        <f t="shared" si="1"/>
        <v>425</v>
      </c>
      <c r="W215" s="21" t="s">
        <v>37</v>
      </c>
      <c r="X215" s="21" t="s">
        <v>78</v>
      </c>
      <c r="Y215" s="23">
        <v>46189.0</v>
      </c>
    </row>
    <row r="216" ht="22.5" customHeight="1">
      <c r="A216" s="20">
        <v>46188.465716481485</v>
      </c>
      <c r="B216" s="21" t="s">
        <v>32</v>
      </c>
      <c r="C216" s="21" t="s">
        <v>67</v>
      </c>
      <c r="D216" s="21" t="s">
        <v>55</v>
      </c>
      <c r="E216" s="21">
        <v>12.0</v>
      </c>
      <c r="F216" s="21" t="s">
        <v>36</v>
      </c>
      <c r="Q216" s="21">
        <v>5.0</v>
      </c>
      <c r="S216" s="21">
        <v>48.0</v>
      </c>
      <c r="V216" s="22">
        <f t="shared" si="1"/>
        <v>1700</v>
      </c>
      <c r="W216" s="21" t="s">
        <v>37</v>
      </c>
      <c r="X216" s="21" t="s">
        <v>74</v>
      </c>
      <c r="Y216" s="23">
        <v>46189.0</v>
      </c>
    </row>
    <row r="217" ht="22.5" customHeight="1">
      <c r="A217" s="20">
        <v>46188.466655972225</v>
      </c>
      <c r="B217" s="21" t="s">
        <v>32</v>
      </c>
      <c r="C217" s="21" t="s">
        <v>67</v>
      </c>
      <c r="D217" s="21" t="s">
        <v>55</v>
      </c>
      <c r="E217" s="21">
        <v>12.0</v>
      </c>
      <c r="F217" s="21" t="s">
        <v>36</v>
      </c>
      <c r="Q217" s="21">
        <v>3.0</v>
      </c>
      <c r="S217" s="21">
        <v>4.0</v>
      </c>
      <c r="V217" s="22">
        <f t="shared" si="1"/>
        <v>400</v>
      </c>
      <c r="W217" s="21" t="s">
        <v>37</v>
      </c>
      <c r="X217" s="21" t="s">
        <v>78</v>
      </c>
      <c r="Y217" s="23">
        <v>46189.0</v>
      </c>
    </row>
    <row r="218" ht="22.5" customHeight="1">
      <c r="A218" s="20">
        <v>46188.46778652778</v>
      </c>
      <c r="B218" s="21" t="s">
        <v>32</v>
      </c>
      <c r="C218" s="21" t="s">
        <v>67</v>
      </c>
      <c r="D218" s="21" t="s">
        <v>27</v>
      </c>
      <c r="E218" s="21">
        <v>12.0</v>
      </c>
      <c r="F218" s="21" t="s">
        <v>36</v>
      </c>
      <c r="Q218" s="21">
        <v>8.0</v>
      </c>
      <c r="V218" s="22">
        <f t="shared" si="1"/>
        <v>800</v>
      </c>
      <c r="W218" s="21" t="s">
        <v>29</v>
      </c>
      <c r="X218" s="21" t="s">
        <v>77</v>
      </c>
      <c r="Y218" s="23">
        <v>46189.0</v>
      </c>
    </row>
    <row r="219" ht="22.5" customHeight="1">
      <c r="A219" s="20">
        <v>46188.46878053241</v>
      </c>
      <c r="B219" s="21" t="s">
        <v>32</v>
      </c>
      <c r="C219" s="21" t="s">
        <v>67</v>
      </c>
      <c r="D219" s="21" t="s">
        <v>55</v>
      </c>
      <c r="E219" s="21">
        <v>12.0</v>
      </c>
      <c r="F219" s="21" t="s">
        <v>31</v>
      </c>
      <c r="Q219" s="21">
        <v>1.0</v>
      </c>
      <c r="S219" s="21">
        <v>2.0</v>
      </c>
      <c r="V219" s="22">
        <f t="shared" si="1"/>
        <v>150</v>
      </c>
      <c r="W219" s="21" t="s">
        <v>37</v>
      </c>
      <c r="X219" s="21" t="s">
        <v>74</v>
      </c>
      <c r="Y219" s="23">
        <v>46189.0</v>
      </c>
    </row>
    <row r="220" ht="22.5" customHeight="1">
      <c r="A220" s="20">
        <v>46188.47110582176</v>
      </c>
      <c r="B220" s="21" t="s">
        <v>32</v>
      </c>
      <c r="C220" s="21" t="s">
        <v>67</v>
      </c>
      <c r="D220" s="21" t="s">
        <v>55</v>
      </c>
      <c r="E220" s="21">
        <v>14.0</v>
      </c>
      <c r="F220" s="21" t="s">
        <v>31</v>
      </c>
      <c r="S220" s="21">
        <v>1.0</v>
      </c>
      <c r="V220" s="22">
        <f t="shared" si="1"/>
        <v>25</v>
      </c>
      <c r="W220" s="21" t="s">
        <v>37</v>
      </c>
      <c r="X220" s="21" t="s">
        <v>91</v>
      </c>
      <c r="Y220" s="23">
        <v>46189.0</v>
      </c>
    </row>
    <row r="221" ht="22.5" customHeight="1">
      <c r="A221" s="20">
        <v>46188.47213122685</v>
      </c>
      <c r="B221" s="21" t="s">
        <v>32</v>
      </c>
      <c r="C221" s="21" t="s">
        <v>67</v>
      </c>
      <c r="D221" s="21" t="s">
        <v>34</v>
      </c>
      <c r="E221" s="21" t="s">
        <v>51</v>
      </c>
      <c r="F221" s="21" t="s">
        <v>36</v>
      </c>
      <c r="Q221" s="21">
        <v>24.0</v>
      </c>
      <c r="S221" s="21">
        <v>18.0</v>
      </c>
      <c r="V221" s="22">
        <f t="shared" si="1"/>
        <v>2850</v>
      </c>
      <c r="W221" s="21" t="s">
        <v>37</v>
      </c>
      <c r="X221" s="21" t="s">
        <v>52</v>
      </c>
      <c r="Y221" s="23">
        <v>46189.0</v>
      </c>
    </row>
    <row r="222" ht="22.5" customHeight="1">
      <c r="A222" s="20">
        <v>46188.472868275465</v>
      </c>
      <c r="B222" s="21" t="s">
        <v>32</v>
      </c>
      <c r="C222" s="21" t="s">
        <v>67</v>
      </c>
      <c r="D222" s="21" t="s">
        <v>34</v>
      </c>
      <c r="E222" s="21" t="s">
        <v>42</v>
      </c>
      <c r="F222" s="21" t="s">
        <v>36</v>
      </c>
      <c r="Q222" s="21">
        <v>3.0</v>
      </c>
      <c r="S222" s="21">
        <v>18.0</v>
      </c>
      <c r="V222" s="22">
        <f t="shared" si="1"/>
        <v>750</v>
      </c>
      <c r="W222" s="21" t="s">
        <v>37</v>
      </c>
      <c r="X222" s="21" t="s">
        <v>79</v>
      </c>
      <c r="Y222" s="23">
        <v>46189.0</v>
      </c>
    </row>
    <row r="223" ht="22.5" customHeight="1">
      <c r="A223" s="20">
        <v>46188.47338059028</v>
      </c>
      <c r="B223" s="21" t="s">
        <v>32</v>
      </c>
      <c r="C223" s="21" t="s">
        <v>67</v>
      </c>
      <c r="D223" s="21" t="s">
        <v>34</v>
      </c>
      <c r="E223" s="21" t="s">
        <v>46</v>
      </c>
      <c r="F223" s="21" t="s">
        <v>36</v>
      </c>
      <c r="S223" s="21">
        <v>4.0</v>
      </c>
      <c r="V223" s="22">
        <f t="shared" si="1"/>
        <v>100</v>
      </c>
      <c r="W223" s="21" t="s">
        <v>37</v>
      </c>
      <c r="X223" s="21" t="s">
        <v>86</v>
      </c>
      <c r="Y223" s="23">
        <v>46189.0</v>
      </c>
    </row>
    <row r="224" ht="22.5" customHeight="1">
      <c r="A224" s="20">
        <v>46189.33190131944</v>
      </c>
      <c r="B224" s="21" t="s">
        <v>25</v>
      </c>
      <c r="C224" s="21" t="s">
        <v>68</v>
      </c>
      <c r="D224" s="21" t="s">
        <v>34</v>
      </c>
      <c r="E224" s="21" t="s">
        <v>46</v>
      </c>
      <c r="F224" s="21" t="s">
        <v>36</v>
      </c>
      <c r="Q224" s="21">
        <v>46.0</v>
      </c>
      <c r="V224" s="22">
        <f t="shared" si="1"/>
        <v>4600</v>
      </c>
      <c r="W224" s="21" t="s">
        <v>37</v>
      </c>
      <c r="X224" s="21" t="s">
        <v>86</v>
      </c>
      <c r="Y224" s="23">
        <v>46189.0</v>
      </c>
    </row>
    <row r="225" ht="22.5" customHeight="1">
      <c r="A225" s="20">
        <v>46189.33273163195</v>
      </c>
      <c r="B225" s="21" t="s">
        <v>25</v>
      </c>
      <c r="C225" s="21" t="s">
        <v>68</v>
      </c>
      <c r="D225" s="21" t="s">
        <v>34</v>
      </c>
      <c r="E225" s="21" t="s">
        <v>46</v>
      </c>
      <c r="F225" s="21" t="s">
        <v>36</v>
      </c>
      <c r="Q225" s="21">
        <v>132.0</v>
      </c>
      <c r="V225" s="22">
        <f t="shared" si="1"/>
        <v>13200</v>
      </c>
      <c r="W225" s="21" t="s">
        <v>37</v>
      </c>
      <c r="X225" s="21" t="s">
        <v>86</v>
      </c>
      <c r="Y225" s="23">
        <v>46189.0</v>
      </c>
    </row>
    <row r="226" ht="22.5" customHeight="1">
      <c r="A226" s="20">
        <v>46189.33332990741</v>
      </c>
      <c r="B226" s="21" t="s">
        <v>25</v>
      </c>
      <c r="C226" s="21" t="s">
        <v>48</v>
      </c>
      <c r="D226" s="21" t="s">
        <v>34</v>
      </c>
      <c r="E226" s="21" t="s">
        <v>46</v>
      </c>
      <c r="F226" s="21" t="s">
        <v>36</v>
      </c>
      <c r="Q226" s="21">
        <v>96.0</v>
      </c>
      <c r="S226" s="21">
        <v>1.0</v>
      </c>
      <c r="V226" s="22">
        <f t="shared" si="1"/>
        <v>9625</v>
      </c>
      <c r="W226" s="21" t="s">
        <v>37</v>
      </c>
      <c r="X226" s="21" t="s">
        <v>86</v>
      </c>
      <c r="Y226" s="23">
        <v>46189.0</v>
      </c>
    </row>
    <row r="227" ht="22.5" customHeight="1">
      <c r="A227" s="20">
        <v>46189.334206342595</v>
      </c>
      <c r="B227" s="21" t="s">
        <v>25</v>
      </c>
      <c r="C227" s="21" t="s">
        <v>48</v>
      </c>
      <c r="D227" s="21" t="s">
        <v>34</v>
      </c>
      <c r="E227" s="21" t="s">
        <v>92</v>
      </c>
      <c r="F227" s="21" t="s">
        <v>36</v>
      </c>
      <c r="Q227" s="21">
        <v>162.0</v>
      </c>
      <c r="S227" s="21">
        <v>3.0</v>
      </c>
      <c r="V227" s="22">
        <f t="shared" si="1"/>
        <v>16275</v>
      </c>
      <c r="W227" s="21" t="s">
        <v>37</v>
      </c>
      <c r="X227" s="21" t="s">
        <v>93</v>
      </c>
      <c r="Y227" s="23">
        <v>46189.0</v>
      </c>
    </row>
    <row r="228" ht="22.5" customHeight="1">
      <c r="A228" s="20">
        <v>46189.33685236111</v>
      </c>
      <c r="B228" s="21" t="s">
        <v>25</v>
      </c>
      <c r="C228" s="21" t="s">
        <v>45</v>
      </c>
      <c r="D228" s="21" t="s">
        <v>27</v>
      </c>
      <c r="E228" s="21">
        <v>12.0</v>
      </c>
      <c r="F228" s="21" t="s">
        <v>38</v>
      </c>
      <c r="I228" s="21">
        <v>33.0</v>
      </c>
      <c r="V228" s="22">
        <f t="shared" si="1"/>
        <v>16500</v>
      </c>
      <c r="W228" s="21" t="s">
        <v>29</v>
      </c>
      <c r="X228" s="21" t="s">
        <v>73</v>
      </c>
      <c r="Y228" s="23">
        <v>46189.0</v>
      </c>
    </row>
    <row r="229" ht="22.5" customHeight="1">
      <c r="A229" s="20">
        <v>46189.33766502315</v>
      </c>
      <c r="B229" s="21" t="s">
        <v>25</v>
      </c>
      <c r="C229" s="21" t="s">
        <v>68</v>
      </c>
      <c r="D229" s="21" t="s">
        <v>27</v>
      </c>
      <c r="E229" s="21">
        <v>12.0</v>
      </c>
      <c r="F229" s="21" t="s">
        <v>36</v>
      </c>
      <c r="I229" s="21">
        <v>29.0</v>
      </c>
      <c r="V229" s="22">
        <f t="shared" si="1"/>
        <v>14500</v>
      </c>
      <c r="W229" s="21" t="s">
        <v>29</v>
      </c>
      <c r="X229" s="21" t="s">
        <v>73</v>
      </c>
      <c r="Y229" s="23">
        <v>46189.0</v>
      </c>
    </row>
    <row r="230" ht="22.5" customHeight="1">
      <c r="A230" s="20">
        <v>46189.33886520834</v>
      </c>
      <c r="B230" s="21" t="s">
        <v>25</v>
      </c>
      <c r="C230" s="21" t="s">
        <v>70</v>
      </c>
      <c r="D230" s="21" t="s">
        <v>55</v>
      </c>
      <c r="E230" s="21">
        <v>12.0</v>
      </c>
      <c r="F230" s="21" t="s">
        <v>38</v>
      </c>
      <c r="I230" s="21">
        <v>2.0</v>
      </c>
      <c r="V230" s="22">
        <f t="shared" si="1"/>
        <v>1000</v>
      </c>
      <c r="W230" s="21" t="s">
        <v>37</v>
      </c>
      <c r="X230" s="21" t="s">
        <v>74</v>
      </c>
      <c r="Y230" s="23">
        <v>46189.0</v>
      </c>
    </row>
    <row r="231" ht="22.5" customHeight="1">
      <c r="A231" s="20">
        <v>46189.33949303241</v>
      </c>
      <c r="B231" s="21" t="s">
        <v>25</v>
      </c>
      <c r="C231" s="21" t="s">
        <v>45</v>
      </c>
      <c r="D231" s="21" t="s">
        <v>55</v>
      </c>
      <c r="E231" s="21">
        <v>12.0</v>
      </c>
      <c r="F231" s="21" t="s">
        <v>28</v>
      </c>
      <c r="I231" s="21">
        <v>10.0</v>
      </c>
      <c r="V231" s="22">
        <f t="shared" si="1"/>
        <v>5000</v>
      </c>
      <c r="W231" s="21" t="s">
        <v>37</v>
      </c>
      <c r="X231" s="21" t="s">
        <v>74</v>
      </c>
      <c r="Y231" s="23">
        <v>46189.0</v>
      </c>
    </row>
    <row r="232" ht="22.5" customHeight="1">
      <c r="A232" s="20">
        <v>46189.3399412037</v>
      </c>
      <c r="B232" s="21" t="s">
        <v>25</v>
      </c>
      <c r="C232" s="21" t="s">
        <v>45</v>
      </c>
      <c r="D232" s="21" t="s">
        <v>55</v>
      </c>
      <c r="E232" s="21">
        <v>12.0</v>
      </c>
      <c r="F232" s="21" t="s">
        <v>31</v>
      </c>
      <c r="I232" s="21">
        <v>12.0</v>
      </c>
      <c r="V232" s="22">
        <f t="shared" si="1"/>
        <v>6000</v>
      </c>
      <c r="W232" s="21" t="s">
        <v>37</v>
      </c>
      <c r="X232" s="21" t="s">
        <v>74</v>
      </c>
      <c r="Y232" s="23">
        <v>46189.0</v>
      </c>
    </row>
    <row r="233" ht="22.5" customHeight="1">
      <c r="A233" s="20">
        <v>46189.34050409722</v>
      </c>
      <c r="B233" s="21" t="s">
        <v>25</v>
      </c>
      <c r="C233" s="21" t="s">
        <v>45</v>
      </c>
      <c r="D233" s="21" t="s">
        <v>55</v>
      </c>
      <c r="E233" s="21">
        <v>12.0</v>
      </c>
      <c r="F233" s="21" t="s">
        <v>36</v>
      </c>
      <c r="I233" s="21">
        <v>8.0</v>
      </c>
      <c r="V233" s="22">
        <f t="shared" si="1"/>
        <v>4000</v>
      </c>
      <c r="W233" s="21" t="s">
        <v>37</v>
      </c>
      <c r="X233" s="21" t="s">
        <v>74</v>
      </c>
      <c r="Y233" s="23">
        <v>46189.0</v>
      </c>
    </row>
    <row r="234" ht="22.5" customHeight="1">
      <c r="A234" s="20">
        <v>46189.341320798616</v>
      </c>
      <c r="B234" s="21" t="s">
        <v>25</v>
      </c>
      <c r="C234" s="21" t="s">
        <v>45</v>
      </c>
      <c r="D234" s="21" t="s">
        <v>53</v>
      </c>
      <c r="E234" s="21" t="s">
        <v>42</v>
      </c>
      <c r="F234" s="21" t="s">
        <v>31</v>
      </c>
      <c r="I234" s="21">
        <v>2.0</v>
      </c>
      <c r="V234" s="22">
        <f t="shared" si="1"/>
        <v>1000</v>
      </c>
      <c r="W234" s="21" t="s">
        <v>37</v>
      </c>
      <c r="X234" s="21" t="s">
        <v>82</v>
      </c>
      <c r="Y234" s="23">
        <v>46189.0</v>
      </c>
    </row>
    <row r="235" ht="22.5" customHeight="1">
      <c r="A235" s="20">
        <v>46189.34307476852</v>
      </c>
      <c r="B235" s="21" t="s">
        <v>32</v>
      </c>
      <c r="C235" s="21" t="s">
        <v>88</v>
      </c>
      <c r="D235" s="21" t="s">
        <v>60</v>
      </c>
      <c r="E235" s="21" t="s">
        <v>71</v>
      </c>
      <c r="F235" s="21" t="s">
        <v>31</v>
      </c>
      <c r="R235" s="21">
        <v>11.0</v>
      </c>
      <c r="S235" s="21">
        <v>2.0</v>
      </c>
      <c r="V235" s="22">
        <f t="shared" si="1"/>
        <v>600</v>
      </c>
      <c r="W235" s="21" t="s">
        <v>29</v>
      </c>
      <c r="X235" s="21" t="s">
        <v>72</v>
      </c>
      <c r="Y235" s="23">
        <v>46189.0</v>
      </c>
    </row>
    <row r="236" ht="22.5" customHeight="1">
      <c r="A236" s="20">
        <v>46189.344626875</v>
      </c>
      <c r="B236" s="21" t="s">
        <v>32</v>
      </c>
      <c r="C236" s="21" t="s">
        <v>88</v>
      </c>
      <c r="D236" s="21" t="s">
        <v>53</v>
      </c>
      <c r="E236" s="21" t="s">
        <v>51</v>
      </c>
      <c r="F236" s="21" t="s">
        <v>31</v>
      </c>
      <c r="Q236" s="21">
        <v>12.0</v>
      </c>
      <c r="V236" s="22">
        <f t="shared" si="1"/>
        <v>1200</v>
      </c>
      <c r="W236" s="21" t="s">
        <v>37</v>
      </c>
      <c r="X236" s="21" t="s">
        <v>87</v>
      </c>
      <c r="Y236" s="23">
        <v>46189.0</v>
      </c>
    </row>
    <row r="237" ht="22.5" customHeight="1">
      <c r="A237" s="20">
        <v>46189.34517394676</v>
      </c>
      <c r="B237" s="21" t="s">
        <v>32</v>
      </c>
      <c r="C237" s="21" t="s">
        <v>88</v>
      </c>
      <c r="D237" s="21" t="s">
        <v>53</v>
      </c>
      <c r="E237" s="21" t="s">
        <v>46</v>
      </c>
      <c r="F237" s="21" t="s">
        <v>31</v>
      </c>
      <c r="Q237" s="21">
        <v>3.0</v>
      </c>
      <c r="S237" s="21">
        <v>8.0</v>
      </c>
      <c r="V237" s="22">
        <f t="shared" si="1"/>
        <v>500</v>
      </c>
      <c r="W237" s="21" t="s">
        <v>37</v>
      </c>
      <c r="X237" s="21" t="s">
        <v>80</v>
      </c>
      <c r="Y237" s="23">
        <v>46189.0</v>
      </c>
    </row>
    <row r="238" ht="22.5" customHeight="1">
      <c r="A238" s="20">
        <v>46189.34576943287</v>
      </c>
      <c r="B238" s="21" t="s">
        <v>32</v>
      </c>
      <c r="C238" s="21" t="s">
        <v>88</v>
      </c>
      <c r="D238" s="21" t="s">
        <v>60</v>
      </c>
      <c r="E238" s="21" t="s">
        <v>63</v>
      </c>
      <c r="F238" s="21" t="s">
        <v>31</v>
      </c>
      <c r="R238" s="21">
        <v>1.0</v>
      </c>
      <c r="S238" s="21">
        <v>1.0</v>
      </c>
      <c r="V238" s="22">
        <f t="shared" si="1"/>
        <v>75</v>
      </c>
      <c r="W238" s="21" t="s">
        <v>37</v>
      </c>
      <c r="X238" s="21" t="s">
        <v>64</v>
      </c>
      <c r="Y238" s="23">
        <v>46189.0</v>
      </c>
    </row>
    <row r="239" ht="22.5" customHeight="1">
      <c r="A239" s="20">
        <v>46189.346660613424</v>
      </c>
      <c r="B239" s="21" t="s">
        <v>25</v>
      </c>
      <c r="C239" s="21" t="s">
        <v>45</v>
      </c>
      <c r="D239" s="21" t="s">
        <v>53</v>
      </c>
      <c r="E239" s="21" t="s">
        <v>63</v>
      </c>
      <c r="F239" s="21" t="s">
        <v>31</v>
      </c>
      <c r="Q239" s="21">
        <v>29.0</v>
      </c>
      <c r="S239" s="21">
        <v>1.0</v>
      </c>
      <c r="V239" s="22">
        <f t="shared" si="1"/>
        <v>2925</v>
      </c>
      <c r="W239" s="21" t="s">
        <v>37</v>
      </c>
      <c r="X239" s="21" t="s">
        <v>89</v>
      </c>
      <c r="Y239" s="23">
        <v>46189.0</v>
      </c>
    </row>
    <row r="240" ht="22.5" customHeight="1">
      <c r="A240" s="20">
        <v>46189.34731957176</v>
      </c>
      <c r="B240" s="21" t="s">
        <v>32</v>
      </c>
      <c r="C240" s="21" t="s">
        <v>62</v>
      </c>
      <c r="D240" s="21" t="s">
        <v>53</v>
      </c>
      <c r="E240" s="21" t="s">
        <v>63</v>
      </c>
      <c r="F240" s="21" t="s">
        <v>31</v>
      </c>
      <c r="I240" s="21">
        <v>4.0</v>
      </c>
      <c r="V240" s="22">
        <f t="shared" si="1"/>
        <v>2000</v>
      </c>
      <c r="W240" s="21" t="s">
        <v>37</v>
      </c>
      <c r="X240" s="21" t="s">
        <v>89</v>
      </c>
      <c r="Y240" s="23">
        <v>46189.0</v>
      </c>
    </row>
    <row r="241" ht="22.5" customHeight="1">
      <c r="A241" s="20">
        <v>46190.33044677084</v>
      </c>
      <c r="B241" s="21" t="s">
        <v>25</v>
      </c>
      <c r="C241" s="21" t="s">
        <v>48</v>
      </c>
      <c r="D241" s="21" t="s">
        <v>55</v>
      </c>
      <c r="E241" s="21">
        <v>14.0</v>
      </c>
      <c r="F241" s="21" t="s">
        <v>31</v>
      </c>
      <c r="Q241" s="21">
        <v>151.0</v>
      </c>
      <c r="V241" s="22">
        <f t="shared" si="1"/>
        <v>15100</v>
      </c>
      <c r="W241" s="21" t="s">
        <v>37</v>
      </c>
      <c r="X241" s="21" t="s">
        <v>83</v>
      </c>
      <c r="Y241" s="23">
        <v>46190.0</v>
      </c>
    </row>
    <row r="242" ht="22.5" customHeight="1">
      <c r="A242" s="20">
        <v>46190.331782650464</v>
      </c>
      <c r="B242" s="21" t="s">
        <v>32</v>
      </c>
      <c r="C242" s="21" t="s">
        <v>70</v>
      </c>
      <c r="D242" s="21" t="s">
        <v>27</v>
      </c>
      <c r="E242" s="21">
        <v>12.0</v>
      </c>
      <c r="F242" s="21" t="s">
        <v>31</v>
      </c>
      <c r="I242" s="21">
        <v>48.0</v>
      </c>
      <c r="V242" s="22">
        <f t="shared" si="1"/>
        <v>24000</v>
      </c>
      <c r="W242" s="21" t="s">
        <v>29</v>
      </c>
      <c r="X242" s="21" t="s">
        <v>73</v>
      </c>
      <c r="Y242" s="23">
        <v>46190.0</v>
      </c>
    </row>
    <row r="243" ht="22.5" customHeight="1">
      <c r="A243" s="20">
        <v>46190.332667696755</v>
      </c>
      <c r="B243" s="21" t="s">
        <v>32</v>
      </c>
      <c r="C243" s="21" t="s">
        <v>67</v>
      </c>
      <c r="D243" s="21" t="s">
        <v>55</v>
      </c>
      <c r="E243" s="21">
        <v>10.0</v>
      </c>
      <c r="F243" s="21" t="s">
        <v>31</v>
      </c>
      <c r="Q243" s="21">
        <v>69.0</v>
      </c>
      <c r="V243" s="22">
        <f t="shared" si="1"/>
        <v>6900</v>
      </c>
      <c r="W243" s="21" t="s">
        <v>37</v>
      </c>
      <c r="X243" s="21" t="s">
        <v>94</v>
      </c>
      <c r="Y243" s="23">
        <v>46190.0</v>
      </c>
    </row>
    <row r="244" ht="22.5" customHeight="1">
      <c r="A244" s="20">
        <v>46190.33360938657</v>
      </c>
      <c r="B244" s="21" t="s">
        <v>25</v>
      </c>
      <c r="C244" s="21" t="s">
        <v>68</v>
      </c>
      <c r="D244" s="21" t="s">
        <v>34</v>
      </c>
      <c r="E244" s="21" t="s">
        <v>46</v>
      </c>
      <c r="F244" s="21" t="s">
        <v>36</v>
      </c>
      <c r="Q244" s="21">
        <v>133.0</v>
      </c>
      <c r="V244" s="22">
        <f t="shared" si="1"/>
        <v>13300</v>
      </c>
      <c r="W244" s="21" t="s">
        <v>37</v>
      </c>
      <c r="X244" s="21" t="s">
        <v>86</v>
      </c>
      <c r="Y244" s="23">
        <v>46190.0</v>
      </c>
    </row>
    <row r="245" ht="22.5" customHeight="1">
      <c r="A245" s="20">
        <v>46190.33428091435</v>
      </c>
      <c r="B245" s="21" t="s">
        <v>32</v>
      </c>
      <c r="C245" s="21" t="s">
        <v>67</v>
      </c>
      <c r="D245" s="21" t="s">
        <v>34</v>
      </c>
      <c r="E245" s="21" t="s">
        <v>46</v>
      </c>
      <c r="F245" s="21" t="s">
        <v>36</v>
      </c>
      <c r="Q245" s="21">
        <v>120.0</v>
      </c>
      <c r="S245" s="21">
        <v>5.0</v>
      </c>
      <c r="V245" s="22">
        <f t="shared" si="1"/>
        <v>12125</v>
      </c>
      <c r="W245" s="21" t="s">
        <v>37</v>
      </c>
      <c r="X245" s="21" t="s">
        <v>86</v>
      </c>
      <c r="Y245" s="23">
        <v>46190.0</v>
      </c>
    </row>
    <row r="246" ht="22.5" customHeight="1">
      <c r="A246" s="20">
        <v>46190.33514760417</v>
      </c>
      <c r="B246" s="21" t="s">
        <v>25</v>
      </c>
      <c r="C246" s="21" t="s">
        <v>68</v>
      </c>
      <c r="D246" s="21" t="s">
        <v>34</v>
      </c>
      <c r="E246" s="21" t="s">
        <v>46</v>
      </c>
      <c r="F246" s="21" t="s">
        <v>36</v>
      </c>
      <c r="Q246" s="21">
        <v>71.0</v>
      </c>
      <c r="S246" s="21">
        <v>9.0</v>
      </c>
      <c r="V246" s="22">
        <f t="shared" si="1"/>
        <v>7325</v>
      </c>
      <c r="W246" s="21" t="s">
        <v>37</v>
      </c>
      <c r="X246" s="21" t="s">
        <v>86</v>
      </c>
      <c r="Y246" s="23">
        <v>46190.0</v>
      </c>
    </row>
    <row r="247" ht="22.5" customHeight="1">
      <c r="A247" s="20">
        <v>46190.33602461805</v>
      </c>
      <c r="B247" s="21" t="s">
        <v>25</v>
      </c>
      <c r="C247" s="21" t="s">
        <v>68</v>
      </c>
      <c r="D247" s="21" t="s">
        <v>34</v>
      </c>
      <c r="E247" s="21" t="s">
        <v>92</v>
      </c>
      <c r="F247" s="21" t="s">
        <v>36</v>
      </c>
      <c r="Q247" s="21">
        <v>94.0</v>
      </c>
      <c r="S247" s="21">
        <v>3.0</v>
      </c>
      <c r="V247" s="22">
        <f t="shared" si="1"/>
        <v>9475</v>
      </c>
      <c r="W247" s="21" t="s">
        <v>37</v>
      </c>
      <c r="X247" s="21" t="s">
        <v>93</v>
      </c>
      <c r="Y247" s="23">
        <v>46190.0</v>
      </c>
    </row>
    <row r="248" ht="22.5" customHeight="1">
      <c r="A248" s="20">
        <v>46190.3389710301</v>
      </c>
      <c r="B248" s="21" t="s">
        <v>32</v>
      </c>
      <c r="C248" s="21" t="s">
        <v>67</v>
      </c>
      <c r="D248" s="21" t="s">
        <v>34</v>
      </c>
      <c r="E248" s="21" t="s">
        <v>92</v>
      </c>
      <c r="F248" s="21" t="s">
        <v>36</v>
      </c>
      <c r="Q248" s="21">
        <v>148.0</v>
      </c>
      <c r="V248" s="22">
        <f t="shared" si="1"/>
        <v>14800</v>
      </c>
      <c r="W248" s="21" t="s">
        <v>37</v>
      </c>
      <c r="X248" s="21" t="s">
        <v>93</v>
      </c>
      <c r="Y248" s="23">
        <v>46190.0</v>
      </c>
    </row>
    <row r="249" ht="22.5" customHeight="1">
      <c r="A249" s="20">
        <v>46190.339968368055</v>
      </c>
      <c r="B249" s="21" t="s">
        <v>32</v>
      </c>
      <c r="C249" s="21" t="s">
        <v>90</v>
      </c>
      <c r="D249" s="21" t="s">
        <v>53</v>
      </c>
      <c r="E249" s="21" t="s">
        <v>54</v>
      </c>
      <c r="F249" s="21" t="s">
        <v>31</v>
      </c>
      <c r="Q249" s="21">
        <v>64.0</v>
      </c>
      <c r="S249" s="21">
        <v>4.0</v>
      </c>
      <c r="V249" s="22">
        <f t="shared" si="1"/>
        <v>6500</v>
      </c>
      <c r="W249" s="21" t="s">
        <v>37</v>
      </c>
      <c r="X249" s="21" t="s">
        <v>95</v>
      </c>
      <c r="Y249" s="23">
        <v>46190.0</v>
      </c>
    </row>
    <row r="250" ht="22.5" customHeight="1">
      <c r="A250" s="20">
        <v>46190.34073415509</v>
      </c>
      <c r="B250" s="21" t="s">
        <v>32</v>
      </c>
      <c r="C250" s="21" t="s">
        <v>90</v>
      </c>
      <c r="D250" s="21" t="s">
        <v>53</v>
      </c>
      <c r="E250" s="21" t="s">
        <v>54</v>
      </c>
      <c r="F250" s="21" t="s">
        <v>31</v>
      </c>
      <c r="Q250" s="21">
        <v>64.0</v>
      </c>
      <c r="V250" s="22">
        <f t="shared" si="1"/>
        <v>6400</v>
      </c>
      <c r="W250" s="21" t="s">
        <v>37</v>
      </c>
      <c r="X250" s="21" t="s">
        <v>95</v>
      </c>
      <c r="Y250" s="23">
        <v>46190.0</v>
      </c>
    </row>
    <row r="251" ht="22.5" customHeight="1">
      <c r="A251" s="20">
        <v>46191.33454497685</v>
      </c>
      <c r="B251" s="21" t="s">
        <v>25</v>
      </c>
      <c r="C251" s="21" t="s">
        <v>70</v>
      </c>
      <c r="D251" s="21" t="s">
        <v>34</v>
      </c>
      <c r="E251" s="21" t="s">
        <v>46</v>
      </c>
      <c r="F251" s="21" t="s">
        <v>36</v>
      </c>
      <c r="I251" s="21">
        <v>19.0</v>
      </c>
      <c r="V251" s="22">
        <f t="shared" si="1"/>
        <v>9500</v>
      </c>
      <c r="W251" s="21" t="s">
        <v>37</v>
      </c>
      <c r="X251" s="21" t="s">
        <v>86</v>
      </c>
      <c r="Y251" s="23">
        <v>46191.0</v>
      </c>
    </row>
    <row r="252" ht="22.5" customHeight="1">
      <c r="A252" s="20">
        <v>46191.335613483796</v>
      </c>
      <c r="B252" s="21" t="s">
        <v>25</v>
      </c>
      <c r="C252" s="21" t="s">
        <v>96</v>
      </c>
      <c r="D252" s="21" t="s">
        <v>34</v>
      </c>
      <c r="E252" s="21" t="s">
        <v>46</v>
      </c>
      <c r="F252" s="21" t="s">
        <v>36</v>
      </c>
      <c r="Q252" s="21">
        <v>84.0</v>
      </c>
      <c r="S252" s="21">
        <v>10.0</v>
      </c>
      <c r="V252" s="22">
        <f t="shared" si="1"/>
        <v>8650</v>
      </c>
      <c r="W252" s="21" t="s">
        <v>37</v>
      </c>
      <c r="X252" s="21" t="s">
        <v>86</v>
      </c>
      <c r="Y252" s="23">
        <v>46191.0</v>
      </c>
    </row>
    <row r="253" ht="22.5" customHeight="1">
      <c r="A253" s="20">
        <v>46191.336618692134</v>
      </c>
      <c r="B253" s="21" t="s">
        <v>25</v>
      </c>
      <c r="C253" s="21" t="s">
        <v>70</v>
      </c>
      <c r="D253" s="21" t="s">
        <v>27</v>
      </c>
      <c r="E253" s="21">
        <v>12.0</v>
      </c>
      <c r="F253" s="21" t="s">
        <v>31</v>
      </c>
      <c r="I253" s="21">
        <v>8.0</v>
      </c>
      <c r="V253" s="21">
        <v>7000.0</v>
      </c>
      <c r="W253" s="21" t="s">
        <v>29</v>
      </c>
      <c r="X253" s="21" t="s">
        <v>73</v>
      </c>
      <c r="Y253" s="23">
        <v>46191.0</v>
      </c>
    </row>
    <row r="254" ht="22.5" customHeight="1">
      <c r="A254" s="20">
        <v>46191.338111516205</v>
      </c>
      <c r="B254" s="21" t="s">
        <v>32</v>
      </c>
      <c r="C254" s="21" t="s">
        <v>97</v>
      </c>
      <c r="D254" s="21" t="s">
        <v>55</v>
      </c>
      <c r="E254" s="21">
        <v>14.0</v>
      </c>
      <c r="F254" s="21" t="s">
        <v>31</v>
      </c>
      <c r="Q254" s="21">
        <v>410.0</v>
      </c>
      <c r="S254" s="21">
        <v>4.0</v>
      </c>
      <c r="V254" s="22">
        <f t="shared" ref="V254:V423" si="2">SUMPRODUCT(G254:T254,$G$1:$T$1)</f>
        <v>41100</v>
      </c>
      <c r="W254" s="21" t="s">
        <v>37</v>
      </c>
      <c r="X254" s="21" t="s">
        <v>83</v>
      </c>
      <c r="Y254" s="23">
        <v>46191.0</v>
      </c>
    </row>
    <row r="255" ht="22.5" customHeight="1">
      <c r="A255" s="20">
        <v>46191.33874319444</v>
      </c>
      <c r="B255" s="21" t="s">
        <v>32</v>
      </c>
      <c r="C255" s="21" t="s">
        <v>97</v>
      </c>
      <c r="D255" s="21" t="s">
        <v>55</v>
      </c>
      <c r="E255" s="21">
        <v>14.0</v>
      </c>
      <c r="F255" s="21" t="s">
        <v>31</v>
      </c>
      <c r="Q255" s="21">
        <v>400.0</v>
      </c>
      <c r="V255" s="22">
        <f t="shared" si="2"/>
        <v>40000</v>
      </c>
      <c r="W255" s="21" t="s">
        <v>37</v>
      </c>
      <c r="X255" s="21" t="s">
        <v>83</v>
      </c>
      <c r="Y255" s="23">
        <v>46191.0</v>
      </c>
    </row>
    <row r="256" ht="22.5" customHeight="1">
      <c r="A256" s="20">
        <v>46191.33993065973</v>
      </c>
      <c r="B256" s="21" t="s">
        <v>25</v>
      </c>
      <c r="C256" s="21" t="s">
        <v>96</v>
      </c>
      <c r="D256" s="21" t="s">
        <v>55</v>
      </c>
      <c r="E256" s="21">
        <v>10.0</v>
      </c>
      <c r="F256" s="21" t="s">
        <v>31</v>
      </c>
      <c r="I256" s="21">
        <v>6.0</v>
      </c>
      <c r="Q256" s="21">
        <v>204.0</v>
      </c>
      <c r="S256" s="21">
        <v>6.0</v>
      </c>
      <c r="V256" s="22">
        <f t="shared" si="2"/>
        <v>23550</v>
      </c>
      <c r="W256" s="21" t="s">
        <v>37</v>
      </c>
      <c r="X256" s="21" t="s">
        <v>94</v>
      </c>
      <c r="Y256" s="23">
        <v>46191.0</v>
      </c>
    </row>
    <row r="257" ht="22.5" customHeight="1">
      <c r="A257" s="20">
        <v>46191.34110532407</v>
      </c>
      <c r="B257" s="21" t="s">
        <v>25</v>
      </c>
      <c r="C257" s="21" t="s">
        <v>96</v>
      </c>
      <c r="D257" s="21" t="s">
        <v>55</v>
      </c>
      <c r="E257" s="21">
        <v>10.0</v>
      </c>
      <c r="F257" s="21" t="s">
        <v>36</v>
      </c>
      <c r="Q257" s="21">
        <v>155.0</v>
      </c>
      <c r="S257" s="21">
        <v>2.0</v>
      </c>
      <c r="V257" s="22">
        <f t="shared" si="2"/>
        <v>15550</v>
      </c>
      <c r="W257" s="21" t="s">
        <v>37</v>
      </c>
      <c r="X257" s="21" t="s">
        <v>94</v>
      </c>
      <c r="Y257" s="23">
        <v>46191.0</v>
      </c>
    </row>
    <row r="258" ht="22.5" customHeight="1">
      <c r="A258" s="20">
        <v>46191.342165462964</v>
      </c>
      <c r="B258" s="21" t="s">
        <v>32</v>
      </c>
      <c r="C258" s="21" t="s">
        <v>70</v>
      </c>
      <c r="D258" s="21" t="s">
        <v>53</v>
      </c>
      <c r="E258" s="21" t="s">
        <v>43</v>
      </c>
      <c r="F258" s="21" t="s">
        <v>31</v>
      </c>
      <c r="Q258" s="21">
        <f>41+16</f>
        <v>57</v>
      </c>
      <c r="S258" s="21">
        <v>3.0</v>
      </c>
      <c r="V258" s="22">
        <f t="shared" si="2"/>
        <v>5775</v>
      </c>
      <c r="W258" s="21" t="s">
        <v>37</v>
      </c>
      <c r="X258" s="21" t="s">
        <v>98</v>
      </c>
      <c r="Y258" s="23">
        <v>46191.0</v>
      </c>
    </row>
    <row r="259" ht="22.5" customHeight="1">
      <c r="A259" s="20">
        <v>46191.34299133102</v>
      </c>
      <c r="B259" s="21" t="s">
        <v>32</v>
      </c>
      <c r="C259" s="21" t="s">
        <v>97</v>
      </c>
      <c r="D259" s="21" t="s">
        <v>27</v>
      </c>
      <c r="E259" s="21">
        <v>12.0</v>
      </c>
      <c r="F259" s="21" t="s">
        <v>31</v>
      </c>
      <c r="Q259" s="21">
        <v>17.0</v>
      </c>
      <c r="S259" s="21">
        <v>14.0</v>
      </c>
      <c r="V259" s="22">
        <f t="shared" si="2"/>
        <v>2050</v>
      </c>
      <c r="W259" s="21" t="s">
        <v>29</v>
      </c>
      <c r="X259" s="21" t="s">
        <v>73</v>
      </c>
      <c r="Y259" s="23">
        <v>46191.0</v>
      </c>
    </row>
    <row r="260" ht="22.5" customHeight="1">
      <c r="A260" s="20">
        <v>46191.34480104166</v>
      </c>
      <c r="B260" s="21" t="s">
        <v>25</v>
      </c>
      <c r="C260" s="21" t="s">
        <v>96</v>
      </c>
      <c r="D260" s="21" t="s">
        <v>27</v>
      </c>
      <c r="E260" s="21">
        <v>12.0</v>
      </c>
      <c r="F260" s="21" t="s">
        <v>36</v>
      </c>
      <c r="Q260" s="21">
        <v>3.0</v>
      </c>
      <c r="S260" s="21">
        <v>4.0</v>
      </c>
      <c r="V260" s="22">
        <f t="shared" si="2"/>
        <v>400</v>
      </c>
      <c r="W260" s="21" t="s">
        <v>29</v>
      </c>
      <c r="X260" s="21" t="s">
        <v>73</v>
      </c>
      <c r="Y260" s="23">
        <v>46191.0</v>
      </c>
    </row>
    <row r="261" ht="22.5" customHeight="1">
      <c r="A261" s="20">
        <v>46191.3455202662</v>
      </c>
      <c r="B261" s="21" t="s">
        <v>25</v>
      </c>
      <c r="C261" s="21" t="s">
        <v>96</v>
      </c>
      <c r="D261" s="21" t="s">
        <v>27</v>
      </c>
      <c r="E261" s="21">
        <v>12.0</v>
      </c>
      <c r="F261" s="21" t="s">
        <v>38</v>
      </c>
      <c r="Q261" s="21">
        <v>5.0</v>
      </c>
      <c r="S261" s="21">
        <v>3.0</v>
      </c>
      <c r="V261" s="22">
        <f t="shared" si="2"/>
        <v>575</v>
      </c>
      <c r="W261" s="21" t="s">
        <v>29</v>
      </c>
      <c r="X261" s="21" t="s">
        <v>77</v>
      </c>
      <c r="Y261" s="23">
        <v>46191.0</v>
      </c>
    </row>
    <row r="262" ht="22.5" customHeight="1">
      <c r="A262" s="20">
        <v>46191.346174756945</v>
      </c>
      <c r="B262" s="21" t="s">
        <v>25</v>
      </c>
      <c r="C262" s="21" t="s">
        <v>96</v>
      </c>
      <c r="D262" s="21" t="s">
        <v>55</v>
      </c>
      <c r="E262" s="21">
        <v>14.0</v>
      </c>
      <c r="F262" s="21" t="s">
        <v>28</v>
      </c>
      <c r="S262" s="21">
        <v>17.0</v>
      </c>
      <c r="V262" s="22">
        <f t="shared" si="2"/>
        <v>425</v>
      </c>
      <c r="W262" s="21" t="s">
        <v>37</v>
      </c>
      <c r="X262" s="21" t="s">
        <v>83</v>
      </c>
      <c r="Y262" s="23">
        <v>46191.0</v>
      </c>
    </row>
    <row r="263" ht="22.5" customHeight="1">
      <c r="A263" s="20">
        <v>46191.346671736115</v>
      </c>
      <c r="B263" s="21" t="s">
        <v>32</v>
      </c>
      <c r="C263" s="21" t="s">
        <v>96</v>
      </c>
      <c r="D263" s="21" t="s">
        <v>55</v>
      </c>
      <c r="E263" s="21">
        <v>14.0</v>
      </c>
      <c r="F263" s="21" t="s">
        <v>39</v>
      </c>
      <c r="S263" s="21">
        <v>2.0</v>
      </c>
      <c r="V263" s="22">
        <f t="shared" si="2"/>
        <v>50</v>
      </c>
      <c r="W263" s="21" t="s">
        <v>37</v>
      </c>
      <c r="X263" s="21" t="s">
        <v>83</v>
      </c>
      <c r="Y263" s="23">
        <v>46191.0</v>
      </c>
    </row>
    <row r="264" ht="22.5" customHeight="1">
      <c r="A264" s="20">
        <v>46192.336230127316</v>
      </c>
      <c r="B264" s="21" t="s">
        <v>25</v>
      </c>
      <c r="C264" s="21" t="s">
        <v>68</v>
      </c>
      <c r="D264" s="21" t="s">
        <v>55</v>
      </c>
      <c r="E264" s="21">
        <v>14.0</v>
      </c>
      <c r="F264" s="21" t="s">
        <v>44</v>
      </c>
      <c r="Q264" s="21">
        <v>130.0</v>
      </c>
      <c r="V264" s="22">
        <f t="shared" si="2"/>
        <v>13000</v>
      </c>
      <c r="W264" s="21" t="s">
        <v>37</v>
      </c>
      <c r="X264" s="21" t="s">
        <v>83</v>
      </c>
      <c r="Y264" s="23">
        <v>46192.0</v>
      </c>
    </row>
    <row r="265" ht="22.5" customHeight="1">
      <c r="A265" s="20">
        <v>46192.33761671296</v>
      </c>
      <c r="B265" s="21" t="s">
        <v>32</v>
      </c>
      <c r="C265" s="21" t="s">
        <v>97</v>
      </c>
      <c r="D265" s="21" t="s">
        <v>55</v>
      </c>
      <c r="E265" s="21">
        <v>14.0</v>
      </c>
      <c r="F265" s="21" t="s">
        <v>44</v>
      </c>
      <c r="Q265" s="21">
        <v>350.0</v>
      </c>
      <c r="V265" s="22">
        <f t="shared" si="2"/>
        <v>35000</v>
      </c>
      <c r="W265" s="21" t="s">
        <v>37</v>
      </c>
      <c r="X265" s="21" t="s">
        <v>83</v>
      </c>
      <c r="Y265" s="23">
        <v>46192.0</v>
      </c>
    </row>
    <row r="266" ht="22.5" customHeight="1">
      <c r="A266" s="20">
        <v>46192.338303819444</v>
      </c>
      <c r="B266" s="21" t="s">
        <v>25</v>
      </c>
      <c r="C266" s="21" t="s">
        <v>96</v>
      </c>
      <c r="D266" s="21" t="s">
        <v>55</v>
      </c>
      <c r="E266" s="21">
        <v>14.0</v>
      </c>
      <c r="F266" s="21" t="s">
        <v>39</v>
      </c>
      <c r="Q266" s="21">
        <v>360.0</v>
      </c>
      <c r="V266" s="22">
        <f t="shared" si="2"/>
        <v>36000</v>
      </c>
      <c r="W266" s="21" t="s">
        <v>37</v>
      </c>
      <c r="X266" s="21" t="s">
        <v>83</v>
      </c>
      <c r="Y266" s="23">
        <v>46192.0</v>
      </c>
    </row>
    <row r="267" ht="22.5" customHeight="1">
      <c r="A267" s="20">
        <v>46192.338912129635</v>
      </c>
      <c r="B267" s="21" t="s">
        <v>25</v>
      </c>
      <c r="C267" s="21" t="s">
        <v>96</v>
      </c>
      <c r="D267" s="21" t="s">
        <v>55</v>
      </c>
      <c r="E267" s="21">
        <v>14.0</v>
      </c>
      <c r="F267" s="21" t="s">
        <v>39</v>
      </c>
      <c r="Q267" s="21">
        <v>123.0</v>
      </c>
      <c r="V267" s="22">
        <f t="shared" si="2"/>
        <v>12300</v>
      </c>
      <c r="W267" s="21" t="s">
        <v>37</v>
      </c>
      <c r="X267" s="21" t="s">
        <v>83</v>
      </c>
      <c r="Y267" s="23">
        <v>46192.0</v>
      </c>
    </row>
    <row r="268" ht="22.5" customHeight="1">
      <c r="A268" s="20">
        <v>46192.339560243054</v>
      </c>
      <c r="B268" s="21" t="s">
        <v>32</v>
      </c>
      <c r="C268" s="21" t="s">
        <v>97</v>
      </c>
      <c r="D268" s="21" t="s">
        <v>55</v>
      </c>
      <c r="E268" s="21">
        <v>14.0</v>
      </c>
      <c r="F268" s="21" t="s">
        <v>36</v>
      </c>
      <c r="Q268" s="21">
        <v>350.0</v>
      </c>
      <c r="V268" s="22">
        <f t="shared" si="2"/>
        <v>35000</v>
      </c>
      <c r="W268" s="21" t="s">
        <v>37</v>
      </c>
      <c r="X268" s="21" t="s">
        <v>83</v>
      </c>
      <c r="Y268" s="23">
        <v>46192.0</v>
      </c>
    </row>
    <row r="269" ht="22.5" customHeight="1">
      <c r="A269" s="20">
        <v>46192.34025474537</v>
      </c>
      <c r="B269" s="21" t="s">
        <v>32</v>
      </c>
      <c r="C269" s="21" t="s">
        <v>97</v>
      </c>
      <c r="D269" s="21" t="s">
        <v>55</v>
      </c>
      <c r="E269" s="21">
        <v>14.0</v>
      </c>
      <c r="F269" s="21" t="s">
        <v>36</v>
      </c>
      <c r="Q269" s="21">
        <v>200.0</v>
      </c>
      <c r="V269" s="22">
        <f t="shared" si="2"/>
        <v>20000</v>
      </c>
      <c r="W269" s="21" t="s">
        <v>37</v>
      </c>
      <c r="X269" s="21" t="s">
        <v>83</v>
      </c>
      <c r="Y269" s="23">
        <v>46192.0</v>
      </c>
    </row>
    <row r="270" ht="22.5" customHeight="1">
      <c r="A270" s="20">
        <v>46192.34104737268</v>
      </c>
      <c r="B270" s="21" t="s">
        <v>25</v>
      </c>
      <c r="C270" s="21" t="s">
        <v>96</v>
      </c>
      <c r="D270" s="21" t="s">
        <v>55</v>
      </c>
      <c r="E270" s="21">
        <v>14.0</v>
      </c>
      <c r="F270" s="21" t="s">
        <v>36</v>
      </c>
      <c r="Q270" s="21">
        <v>324.0</v>
      </c>
      <c r="S270" s="21">
        <v>3.0</v>
      </c>
      <c r="V270" s="22">
        <f t="shared" si="2"/>
        <v>32475</v>
      </c>
      <c r="W270" s="21" t="s">
        <v>37</v>
      </c>
      <c r="X270" s="21" t="s">
        <v>83</v>
      </c>
      <c r="Y270" s="23">
        <v>46192.0</v>
      </c>
    </row>
    <row r="271" ht="22.5" customHeight="1">
      <c r="A271" s="20">
        <v>46192.3417122338</v>
      </c>
      <c r="B271" s="21" t="s">
        <v>25</v>
      </c>
      <c r="C271" s="21" t="s">
        <v>96</v>
      </c>
      <c r="D271" s="21" t="s">
        <v>55</v>
      </c>
      <c r="E271" s="21">
        <v>14.0</v>
      </c>
      <c r="F271" s="21" t="s">
        <v>28</v>
      </c>
      <c r="Q271" s="21">
        <v>88.0</v>
      </c>
      <c r="S271" s="21">
        <v>3.0</v>
      </c>
      <c r="V271" s="22">
        <f t="shared" si="2"/>
        <v>8875</v>
      </c>
      <c r="W271" s="21" t="s">
        <v>37</v>
      </c>
      <c r="X271" s="21" t="s">
        <v>83</v>
      </c>
      <c r="Y271" s="23">
        <v>46192.0</v>
      </c>
    </row>
    <row r="272" ht="22.5" customHeight="1">
      <c r="A272" s="20">
        <v>46192.3439081713</v>
      </c>
      <c r="B272" s="21" t="s">
        <v>32</v>
      </c>
      <c r="C272" s="21" t="s">
        <v>97</v>
      </c>
      <c r="D272" s="21" t="s">
        <v>34</v>
      </c>
      <c r="E272" s="21" t="s">
        <v>46</v>
      </c>
      <c r="F272" s="21" t="s">
        <v>36</v>
      </c>
      <c r="Q272" s="21">
        <v>48.0</v>
      </c>
      <c r="S272" s="21">
        <v>15.0</v>
      </c>
      <c r="V272" s="22">
        <f t="shared" si="2"/>
        <v>5175</v>
      </c>
      <c r="W272" s="21" t="s">
        <v>37</v>
      </c>
      <c r="X272" s="21" t="s">
        <v>86</v>
      </c>
      <c r="Y272" s="23">
        <v>46192.0</v>
      </c>
    </row>
    <row r="273" ht="22.5" customHeight="1">
      <c r="A273" s="20">
        <v>46192.344699050926</v>
      </c>
      <c r="B273" s="21" t="s">
        <v>25</v>
      </c>
      <c r="C273" s="21" t="s">
        <v>70</v>
      </c>
      <c r="D273" s="21" t="s">
        <v>34</v>
      </c>
      <c r="E273" s="21" t="s">
        <v>46</v>
      </c>
      <c r="F273" s="21" t="s">
        <v>36</v>
      </c>
      <c r="I273" s="21">
        <v>30.0</v>
      </c>
      <c r="V273" s="22">
        <f t="shared" si="2"/>
        <v>15000</v>
      </c>
      <c r="W273" s="21" t="s">
        <v>37</v>
      </c>
      <c r="X273" s="21" t="s">
        <v>86</v>
      </c>
      <c r="Y273" s="23">
        <v>46192.0</v>
      </c>
    </row>
    <row r="274" ht="22.5" customHeight="1">
      <c r="A274" s="20">
        <v>46192.34563055556</v>
      </c>
      <c r="B274" s="21" t="s">
        <v>25</v>
      </c>
      <c r="C274" s="21" t="s">
        <v>70</v>
      </c>
      <c r="D274" s="21" t="s">
        <v>34</v>
      </c>
      <c r="E274" s="21" t="s">
        <v>46</v>
      </c>
      <c r="F274" s="21" t="s">
        <v>36</v>
      </c>
      <c r="I274" s="21">
        <v>10.0</v>
      </c>
      <c r="V274" s="22">
        <f t="shared" si="2"/>
        <v>5000</v>
      </c>
      <c r="W274" s="21" t="s">
        <v>37</v>
      </c>
      <c r="X274" s="21" t="s">
        <v>86</v>
      </c>
      <c r="Y274" s="23">
        <v>46192.0</v>
      </c>
    </row>
    <row r="275" ht="22.5" customHeight="1">
      <c r="A275" s="20">
        <v>46192.346957800924</v>
      </c>
      <c r="B275" s="21" t="s">
        <v>25</v>
      </c>
      <c r="C275" s="21" t="s">
        <v>48</v>
      </c>
      <c r="D275" s="21" t="s">
        <v>34</v>
      </c>
      <c r="E275" s="21" t="s">
        <v>42</v>
      </c>
      <c r="F275" s="21" t="s">
        <v>36</v>
      </c>
      <c r="I275" s="21">
        <v>24.0</v>
      </c>
      <c r="Q275" s="21">
        <v>17.0</v>
      </c>
      <c r="S275" s="21">
        <v>12.0</v>
      </c>
      <c r="V275" s="22">
        <f t="shared" si="2"/>
        <v>14000</v>
      </c>
      <c r="W275" s="21" t="s">
        <v>37</v>
      </c>
      <c r="X275" s="21" t="s">
        <v>79</v>
      </c>
      <c r="Y275" s="23">
        <v>46192.0</v>
      </c>
    </row>
    <row r="276" ht="22.5" customHeight="1">
      <c r="A276" s="20">
        <v>46192.347854224536</v>
      </c>
      <c r="B276" s="21" t="s">
        <v>32</v>
      </c>
      <c r="C276" s="21" t="s">
        <v>97</v>
      </c>
      <c r="D276" s="21" t="s">
        <v>34</v>
      </c>
      <c r="E276" s="21" t="s">
        <v>51</v>
      </c>
      <c r="F276" s="21" t="s">
        <v>36</v>
      </c>
      <c r="Q276" s="21">
        <v>19.0</v>
      </c>
      <c r="S276" s="21">
        <v>1.0</v>
      </c>
      <c r="V276" s="22">
        <f t="shared" si="2"/>
        <v>1925</v>
      </c>
      <c r="W276" s="21" t="s">
        <v>37</v>
      </c>
      <c r="X276" s="21" t="s">
        <v>52</v>
      </c>
      <c r="Y276" s="23">
        <v>46192.0</v>
      </c>
    </row>
    <row r="277" ht="22.5" customHeight="1">
      <c r="A277" s="20">
        <v>46192.348912824076</v>
      </c>
      <c r="B277" s="21" t="s">
        <v>32</v>
      </c>
      <c r="C277" s="21" t="s">
        <v>97</v>
      </c>
      <c r="D277" s="21" t="s">
        <v>53</v>
      </c>
      <c r="E277" s="21" t="s">
        <v>51</v>
      </c>
      <c r="F277" s="21" t="s">
        <v>31</v>
      </c>
      <c r="Q277" s="21">
        <v>1.0</v>
      </c>
      <c r="V277" s="22">
        <f t="shared" si="2"/>
        <v>100</v>
      </c>
      <c r="W277" s="21" t="s">
        <v>37</v>
      </c>
      <c r="X277" s="21" t="s">
        <v>99</v>
      </c>
      <c r="Y277" s="23">
        <v>46192.0</v>
      </c>
    </row>
    <row r="278" ht="22.5" customHeight="1">
      <c r="A278" s="20">
        <v>46192.349656886574</v>
      </c>
      <c r="B278" s="21" t="s">
        <v>32</v>
      </c>
      <c r="C278" s="21" t="s">
        <v>97</v>
      </c>
      <c r="D278" s="21" t="s">
        <v>55</v>
      </c>
      <c r="E278" s="21">
        <v>10.0</v>
      </c>
      <c r="F278" s="21" t="s">
        <v>36</v>
      </c>
      <c r="Q278" s="21">
        <v>129.0</v>
      </c>
      <c r="S278" s="21">
        <v>3.0</v>
      </c>
      <c r="V278" s="22">
        <f t="shared" si="2"/>
        <v>12975</v>
      </c>
      <c r="W278" s="21" t="s">
        <v>37</v>
      </c>
      <c r="X278" s="21" t="s">
        <v>94</v>
      </c>
      <c r="Y278" s="23">
        <v>46192.0</v>
      </c>
    </row>
    <row r="279" ht="22.5" customHeight="1">
      <c r="A279" s="20">
        <v>46195.33277171296</v>
      </c>
      <c r="B279" s="21" t="s">
        <v>25</v>
      </c>
      <c r="C279" s="21" t="s">
        <v>96</v>
      </c>
      <c r="D279" s="21" t="s">
        <v>55</v>
      </c>
      <c r="E279" s="21">
        <v>10.0</v>
      </c>
      <c r="F279" s="21" t="s">
        <v>38</v>
      </c>
      <c r="Q279" s="21">
        <v>96.0</v>
      </c>
      <c r="S279" s="21">
        <v>1.0</v>
      </c>
      <c r="V279" s="22">
        <f t="shared" si="2"/>
        <v>9625</v>
      </c>
      <c r="W279" s="21" t="s">
        <v>37</v>
      </c>
      <c r="X279" s="21" t="s">
        <v>94</v>
      </c>
      <c r="Y279" s="23">
        <v>46195.0</v>
      </c>
    </row>
    <row r="280" ht="22.5" customHeight="1">
      <c r="A280" s="20">
        <v>46195.33407820602</v>
      </c>
      <c r="B280" s="21" t="s">
        <v>32</v>
      </c>
      <c r="C280" s="21" t="s">
        <v>97</v>
      </c>
      <c r="D280" s="21" t="s">
        <v>55</v>
      </c>
      <c r="E280" s="21">
        <v>10.0</v>
      </c>
      <c r="F280" s="21" t="s">
        <v>28</v>
      </c>
      <c r="Q280" s="21">
        <v>202.0</v>
      </c>
      <c r="V280" s="22">
        <f t="shared" si="2"/>
        <v>20200</v>
      </c>
      <c r="W280" s="21" t="s">
        <v>37</v>
      </c>
      <c r="X280" s="21" t="s">
        <v>94</v>
      </c>
      <c r="Y280" s="23">
        <v>46195.0</v>
      </c>
    </row>
    <row r="281" ht="22.5" customHeight="1">
      <c r="A281" s="20">
        <v>46195.33469320602</v>
      </c>
      <c r="B281" s="21" t="s">
        <v>25</v>
      </c>
      <c r="C281" s="21" t="s">
        <v>96</v>
      </c>
      <c r="D281" s="21" t="s">
        <v>55</v>
      </c>
      <c r="E281" s="21">
        <v>10.0</v>
      </c>
      <c r="F281" s="21" t="s">
        <v>39</v>
      </c>
      <c r="Q281" s="21">
        <v>203.0</v>
      </c>
      <c r="S281" s="21">
        <v>3.0</v>
      </c>
      <c r="V281" s="22">
        <f t="shared" si="2"/>
        <v>20375</v>
      </c>
      <c r="W281" s="21" t="s">
        <v>37</v>
      </c>
      <c r="X281" s="21" t="s">
        <v>94</v>
      </c>
      <c r="Y281" s="23">
        <v>46195.0</v>
      </c>
    </row>
    <row r="282" ht="22.5" customHeight="1">
      <c r="A282" s="20">
        <v>46195.33561241898</v>
      </c>
      <c r="B282" s="21" t="s">
        <v>32</v>
      </c>
      <c r="C282" s="21" t="s">
        <v>97</v>
      </c>
      <c r="D282" s="21" t="s">
        <v>55</v>
      </c>
      <c r="E282" s="21">
        <v>10.0</v>
      </c>
      <c r="F282" s="21" t="s">
        <v>44</v>
      </c>
      <c r="Q282" s="21">
        <v>20.0</v>
      </c>
      <c r="S282" s="21">
        <v>3.0</v>
      </c>
      <c r="V282" s="22">
        <f t="shared" si="2"/>
        <v>2075</v>
      </c>
      <c r="W282" s="21" t="s">
        <v>37</v>
      </c>
      <c r="X282" s="21" t="s">
        <v>94</v>
      </c>
      <c r="Y282" s="23">
        <v>46195.0</v>
      </c>
    </row>
    <row r="283" ht="22.5" customHeight="1">
      <c r="A283" s="20">
        <v>46195.339931759256</v>
      </c>
      <c r="B283" s="21" t="s">
        <v>32</v>
      </c>
      <c r="C283" s="21" t="s">
        <v>100</v>
      </c>
      <c r="D283" s="21" t="s">
        <v>53</v>
      </c>
      <c r="E283" s="21" t="s">
        <v>43</v>
      </c>
      <c r="F283" s="21" t="s">
        <v>31</v>
      </c>
      <c r="Q283" s="21">
        <v>44.0</v>
      </c>
      <c r="V283" s="22">
        <f t="shared" si="2"/>
        <v>4400</v>
      </c>
      <c r="W283" s="21" t="s">
        <v>37</v>
      </c>
      <c r="X283" s="21" t="s">
        <v>98</v>
      </c>
      <c r="Y283" s="23">
        <v>46195.0</v>
      </c>
    </row>
    <row r="284" ht="22.5" customHeight="1">
      <c r="A284" s="20">
        <v>46195.34126427083</v>
      </c>
      <c r="B284" s="21" t="s">
        <v>32</v>
      </c>
      <c r="C284" s="21" t="s">
        <v>101</v>
      </c>
      <c r="D284" s="21" t="s">
        <v>53</v>
      </c>
      <c r="E284" s="21" t="s">
        <v>54</v>
      </c>
      <c r="F284" s="21" t="s">
        <v>31</v>
      </c>
      <c r="Q284" s="21">
        <v>16.0</v>
      </c>
      <c r="S284" s="21">
        <v>2.0</v>
      </c>
      <c r="V284" s="22">
        <f t="shared" si="2"/>
        <v>1650</v>
      </c>
      <c r="W284" s="21" t="s">
        <v>37</v>
      </c>
      <c r="X284" s="21" t="s">
        <v>95</v>
      </c>
      <c r="Y284" s="23">
        <v>46195.0</v>
      </c>
    </row>
    <row r="285" ht="22.5" customHeight="1">
      <c r="A285" s="20">
        <v>46195.34270741898</v>
      </c>
      <c r="B285" s="21" t="s">
        <v>32</v>
      </c>
      <c r="C285" s="21" t="s">
        <v>102</v>
      </c>
      <c r="D285" s="21" t="s">
        <v>103</v>
      </c>
      <c r="E285" s="21" t="s">
        <v>42</v>
      </c>
      <c r="F285" s="21" t="s">
        <v>36</v>
      </c>
      <c r="U285" s="21">
        <v>1000.0</v>
      </c>
      <c r="V285" s="22">
        <f t="shared" si="2"/>
        <v>0</v>
      </c>
      <c r="W285" s="21" t="s">
        <v>37</v>
      </c>
      <c r="X285" s="24">
        <v>26060.0</v>
      </c>
      <c r="Y285" s="23">
        <v>46195.0</v>
      </c>
    </row>
    <row r="286" ht="22.5" customHeight="1">
      <c r="A286" s="20">
        <v>46195.3551953125</v>
      </c>
      <c r="B286" s="21" t="s">
        <v>32</v>
      </c>
      <c r="C286" s="21" t="s">
        <v>100</v>
      </c>
      <c r="D286" s="21" t="s">
        <v>34</v>
      </c>
      <c r="E286" s="21" t="s">
        <v>51</v>
      </c>
      <c r="F286" s="21" t="s">
        <v>36</v>
      </c>
      <c r="I286" s="21">
        <v>36.0</v>
      </c>
      <c r="V286" s="22">
        <f t="shared" si="2"/>
        <v>18000</v>
      </c>
      <c r="W286" s="21" t="s">
        <v>37</v>
      </c>
      <c r="X286" s="21" t="s">
        <v>52</v>
      </c>
      <c r="Y286" s="23">
        <v>46195.0</v>
      </c>
    </row>
    <row r="287" ht="22.5" customHeight="1">
      <c r="A287" s="20">
        <v>46195.35602813658</v>
      </c>
      <c r="B287" s="21" t="s">
        <v>32</v>
      </c>
      <c r="C287" s="21" t="s">
        <v>69</v>
      </c>
      <c r="D287" s="21" t="s">
        <v>34</v>
      </c>
      <c r="E287" s="21" t="s">
        <v>42</v>
      </c>
      <c r="F287" s="21" t="s">
        <v>36</v>
      </c>
      <c r="I287" s="21">
        <v>29.0</v>
      </c>
      <c r="V287" s="22">
        <f t="shared" si="2"/>
        <v>14500</v>
      </c>
      <c r="W287" s="21" t="s">
        <v>37</v>
      </c>
      <c r="X287" s="21" t="s">
        <v>79</v>
      </c>
      <c r="Y287" s="23">
        <v>46195.0</v>
      </c>
    </row>
    <row r="288" ht="22.5" customHeight="1">
      <c r="A288" s="20">
        <v>46196.341029664356</v>
      </c>
      <c r="B288" s="21" t="s">
        <v>32</v>
      </c>
      <c r="C288" s="21" t="s">
        <v>104</v>
      </c>
      <c r="D288" s="21" t="s">
        <v>34</v>
      </c>
      <c r="E288" s="21" t="s">
        <v>51</v>
      </c>
      <c r="F288" s="21" t="s">
        <v>36</v>
      </c>
      <c r="Q288" s="21">
        <v>115.0</v>
      </c>
      <c r="S288" s="21">
        <v>35.0</v>
      </c>
      <c r="V288" s="22">
        <f t="shared" si="2"/>
        <v>12375</v>
      </c>
      <c r="W288" s="21" t="s">
        <v>37</v>
      </c>
      <c r="X288" s="21" t="s">
        <v>52</v>
      </c>
      <c r="Y288" s="23">
        <v>46196.0</v>
      </c>
    </row>
    <row r="289" ht="22.5" customHeight="1">
      <c r="A289" s="20">
        <v>46196.34263969907</v>
      </c>
      <c r="B289" s="21" t="s">
        <v>32</v>
      </c>
      <c r="C289" s="21" t="s">
        <v>81</v>
      </c>
      <c r="D289" s="21" t="s">
        <v>34</v>
      </c>
      <c r="E289" s="21" t="s">
        <v>51</v>
      </c>
      <c r="F289" s="21" t="s">
        <v>36</v>
      </c>
      <c r="I289" s="21">
        <v>26.0</v>
      </c>
      <c r="V289" s="22">
        <f t="shared" si="2"/>
        <v>13000</v>
      </c>
      <c r="W289" s="21" t="s">
        <v>37</v>
      </c>
      <c r="X289" s="21" t="s">
        <v>52</v>
      </c>
      <c r="Y289" s="23">
        <v>46196.0</v>
      </c>
    </row>
    <row r="290" ht="22.5" customHeight="1">
      <c r="A290" s="20">
        <v>46196.34336945602</v>
      </c>
      <c r="B290" s="21" t="s">
        <v>32</v>
      </c>
      <c r="C290" s="21" t="s">
        <v>81</v>
      </c>
      <c r="D290" s="21" t="s">
        <v>34</v>
      </c>
      <c r="E290" s="21" t="s">
        <v>51</v>
      </c>
      <c r="F290" s="21" t="s">
        <v>36</v>
      </c>
      <c r="I290" s="21">
        <v>35.0</v>
      </c>
      <c r="V290" s="22">
        <f t="shared" si="2"/>
        <v>17500</v>
      </c>
      <c r="W290" s="21" t="s">
        <v>37</v>
      </c>
      <c r="X290" s="21" t="s">
        <v>52</v>
      </c>
      <c r="Y290" s="23">
        <v>46196.0</v>
      </c>
    </row>
    <row r="291" ht="22.5" customHeight="1">
      <c r="A291" s="20">
        <v>46196.34454733796</v>
      </c>
      <c r="B291" s="21" t="s">
        <v>25</v>
      </c>
      <c r="C291" s="21" t="s">
        <v>97</v>
      </c>
      <c r="D291" s="21" t="s">
        <v>34</v>
      </c>
      <c r="E291" s="21" t="s">
        <v>43</v>
      </c>
      <c r="F291" s="21" t="s">
        <v>36</v>
      </c>
      <c r="Q291" s="21">
        <v>90.0</v>
      </c>
      <c r="V291" s="22">
        <f t="shared" si="2"/>
        <v>9000</v>
      </c>
      <c r="W291" s="21" t="s">
        <v>37</v>
      </c>
      <c r="X291" s="21" t="s">
        <v>105</v>
      </c>
      <c r="Y291" s="23">
        <v>46196.0</v>
      </c>
    </row>
    <row r="292" ht="22.5" customHeight="1">
      <c r="A292" s="20">
        <v>46196.34565065972</v>
      </c>
      <c r="B292" s="21" t="s">
        <v>25</v>
      </c>
      <c r="C292" s="21" t="s">
        <v>97</v>
      </c>
      <c r="D292" s="21" t="s">
        <v>34</v>
      </c>
      <c r="E292" s="21" t="s">
        <v>43</v>
      </c>
      <c r="F292" s="21" t="s">
        <v>36</v>
      </c>
      <c r="Q292" s="21">
        <v>30.0</v>
      </c>
      <c r="S292" s="21">
        <v>3.0</v>
      </c>
      <c r="V292" s="22">
        <f t="shared" si="2"/>
        <v>3075</v>
      </c>
      <c r="W292" s="21" t="s">
        <v>37</v>
      </c>
      <c r="X292" s="21" t="s">
        <v>105</v>
      </c>
      <c r="Y292" s="23">
        <v>46196.0</v>
      </c>
    </row>
    <row r="293" ht="22.5" customHeight="1">
      <c r="A293" s="20">
        <v>46196.34832576389</v>
      </c>
      <c r="B293" s="21" t="s">
        <v>25</v>
      </c>
      <c r="C293" s="21" t="s">
        <v>67</v>
      </c>
      <c r="D293" s="21" t="s">
        <v>34</v>
      </c>
      <c r="E293" s="21" t="s">
        <v>42</v>
      </c>
      <c r="F293" s="21" t="s">
        <v>36</v>
      </c>
      <c r="I293" s="21">
        <v>11.0</v>
      </c>
      <c r="Q293" s="21">
        <v>8.0</v>
      </c>
      <c r="S293" s="21">
        <v>8.0</v>
      </c>
      <c r="V293" s="22">
        <f t="shared" si="2"/>
        <v>6500</v>
      </c>
      <c r="W293" s="21" t="s">
        <v>37</v>
      </c>
      <c r="X293" s="21" t="s">
        <v>79</v>
      </c>
      <c r="Y293" s="23">
        <v>46196.0</v>
      </c>
    </row>
    <row r="294" ht="22.5" customHeight="1">
      <c r="A294" s="20">
        <v>46196.352339895835</v>
      </c>
      <c r="B294" s="21" t="s">
        <v>32</v>
      </c>
      <c r="C294" s="21" t="s">
        <v>104</v>
      </c>
      <c r="D294" s="21" t="s">
        <v>55</v>
      </c>
      <c r="E294" s="21">
        <v>6.0</v>
      </c>
      <c r="F294" s="21" t="s">
        <v>36</v>
      </c>
      <c r="Q294" s="21">
        <v>31.0</v>
      </c>
      <c r="S294" s="21">
        <v>2.0</v>
      </c>
      <c r="V294" s="22">
        <f t="shared" si="2"/>
        <v>3150</v>
      </c>
      <c r="W294" s="21" t="s">
        <v>37</v>
      </c>
      <c r="X294" s="21" t="s">
        <v>106</v>
      </c>
      <c r="Y294" s="23">
        <v>46196.0</v>
      </c>
    </row>
    <row r="295" ht="22.5" customHeight="1">
      <c r="A295" s="20">
        <v>46196.354096724535</v>
      </c>
      <c r="B295" s="21" t="s">
        <v>25</v>
      </c>
      <c r="C295" s="21" t="s">
        <v>90</v>
      </c>
      <c r="D295" s="21" t="s">
        <v>27</v>
      </c>
      <c r="E295" s="21">
        <v>8.0</v>
      </c>
      <c r="F295" s="21" t="s">
        <v>31</v>
      </c>
      <c r="I295" s="21">
        <v>5.0</v>
      </c>
      <c r="V295" s="22">
        <f t="shared" si="2"/>
        <v>2500</v>
      </c>
      <c r="W295" s="21" t="s">
        <v>29</v>
      </c>
      <c r="X295" s="21" t="s">
        <v>58</v>
      </c>
      <c r="Y295" s="23">
        <v>46196.0</v>
      </c>
    </row>
    <row r="296" ht="22.5" customHeight="1">
      <c r="A296" s="20">
        <v>46196.355455902776</v>
      </c>
      <c r="B296" s="21" t="s">
        <v>25</v>
      </c>
      <c r="C296" s="21" t="s">
        <v>90</v>
      </c>
      <c r="D296" s="21" t="s">
        <v>55</v>
      </c>
      <c r="E296" s="21">
        <v>10.0</v>
      </c>
      <c r="F296" s="21" t="s">
        <v>36</v>
      </c>
      <c r="I296" s="21">
        <v>4.0</v>
      </c>
      <c r="Q296" s="21">
        <v>2.0</v>
      </c>
      <c r="S296" s="21">
        <v>1.0</v>
      </c>
      <c r="V296" s="22">
        <f t="shared" si="2"/>
        <v>2225</v>
      </c>
      <c r="W296" s="21" t="s">
        <v>37</v>
      </c>
      <c r="X296" s="21" t="s">
        <v>94</v>
      </c>
      <c r="Y296" s="23">
        <v>46196.0</v>
      </c>
    </row>
    <row r="297" ht="22.5" customHeight="1">
      <c r="A297" s="20">
        <v>46196.35638363426</v>
      </c>
      <c r="B297" s="21" t="s">
        <v>32</v>
      </c>
      <c r="C297" s="21" t="s">
        <v>104</v>
      </c>
      <c r="D297" s="21" t="s">
        <v>55</v>
      </c>
      <c r="E297" s="21">
        <v>10.0</v>
      </c>
      <c r="F297" s="21" t="s">
        <v>31</v>
      </c>
      <c r="Q297" s="21">
        <v>2.0</v>
      </c>
      <c r="S297" s="21">
        <v>7.0</v>
      </c>
      <c r="V297" s="22">
        <f t="shared" si="2"/>
        <v>375</v>
      </c>
      <c r="W297" s="21" t="s">
        <v>37</v>
      </c>
      <c r="X297" s="21" t="s">
        <v>94</v>
      </c>
      <c r="Y297" s="23">
        <v>46196.0</v>
      </c>
    </row>
    <row r="298" ht="22.5" customHeight="1">
      <c r="A298" s="20">
        <v>46196.356877858794</v>
      </c>
      <c r="B298" s="21" t="s">
        <v>32</v>
      </c>
      <c r="C298" s="21" t="s">
        <v>104</v>
      </c>
      <c r="D298" s="21" t="s">
        <v>55</v>
      </c>
      <c r="E298" s="21">
        <v>10.0</v>
      </c>
      <c r="F298" s="21" t="s">
        <v>28</v>
      </c>
      <c r="Q298" s="21">
        <v>3.0</v>
      </c>
      <c r="S298" s="21">
        <v>4.0</v>
      </c>
      <c r="V298" s="22">
        <f t="shared" si="2"/>
        <v>400</v>
      </c>
      <c r="W298" s="21" t="s">
        <v>37</v>
      </c>
      <c r="X298" s="21" t="s">
        <v>94</v>
      </c>
      <c r="Y298" s="23">
        <v>46196.0</v>
      </c>
    </row>
    <row r="299" ht="22.5" customHeight="1">
      <c r="A299" s="20">
        <v>46196.35801664351</v>
      </c>
      <c r="B299" s="21" t="s">
        <v>25</v>
      </c>
      <c r="C299" s="21" t="s">
        <v>90</v>
      </c>
      <c r="D299" s="21" t="s">
        <v>55</v>
      </c>
      <c r="E299" s="21">
        <v>14.0</v>
      </c>
      <c r="F299" s="21" t="s">
        <v>36</v>
      </c>
      <c r="I299" s="21">
        <v>5.0</v>
      </c>
      <c r="Q299" s="21">
        <v>1.0</v>
      </c>
      <c r="S299" s="21">
        <v>11.0</v>
      </c>
      <c r="V299" s="22">
        <f t="shared" si="2"/>
        <v>2875</v>
      </c>
      <c r="W299" s="21" t="s">
        <v>37</v>
      </c>
      <c r="X299" s="21" t="s">
        <v>83</v>
      </c>
      <c r="Y299" s="23">
        <v>46196.0</v>
      </c>
    </row>
    <row r="300" ht="22.5" customHeight="1">
      <c r="A300" s="20">
        <v>46196.35871959491</v>
      </c>
      <c r="B300" s="21" t="s">
        <v>32</v>
      </c>
      <c r="C300" s="21" t="s">
        <v>104</v>
      </c>
      <c r="D300" s="21" t="s">
        <v>55</v>
      </c>
      <c r="E300" s="21">
        <v>10.0</v>
      </c>
      <c r="F300" s="21" t="s">
        <v>39</v>
      </c>
      <c r="Q300" s="21">
        <v>2.0</v>
      </c>
      <c r="V300" s="22">
        <f t="shared" si="2"/>
        <v>200</v>
      </c>
      <c r="W300" s="21" t="s">
        <v>37</v>
      </c>
      <c r="X300" s="21" t="s">
        <v>94</v>
      </c>
      <c r="Y300" s="23">
        <v>46196.0</v>
      </c>
    </row>
    <row r="301" ht="22.5" customHeight="1">
      <c r="A301" s="20">
        <v>46196.35907443287</v>
      </c>
      <c r="B301" s="21" t="s">
        <v>32</v>
      </c>
      <c r="C301" s="21" t="s">
        <v>104</v>
      </c>
      <c r="D301" s="21" t="s">
        <v>55</v>
      </c>
      <c r="E301" s="21">
        <v>10.0</v>
      </c>
      <c r="F301" s="21" t="s">
        <v>38</v>
      </c>
      <c r="Q301" s="21">
        <v>1.0</v>
      </c>
      <c r="S301" s="21">
        <v>4.0</v>
      </c>
      <c r="V301" s="22">
        <f t="shared" si="2"/>
        <v>200</v>
      </c>
      <c r="W301" s="21" t="s">
        <v>37</v>
      </c>
      <c r="X301" s="21" t="s">
        <v>94</v>
      </c>
      <c r="Y301" s="23">
        <v>46196.0</v>
      </c>
    </row>
    <row r="302" ht="22.5" customHeight="1">
      <c r="A302" s="20">
        <v>46196.35983003472</v>
      </c>
      <c r="B302" s="21" t="s">
        <v>32</v>
      </c>
      <c r="C302" s="21" t="s">
        <v>104</v>
      </c>
      <c r="D302" s="21" t="s">
        <v>55</v>
      </c>
      <c r="E302" s="21">
        <v>10.0</v>
      </c>
      <c r="F302" s="21" t="s">
        <v>44</v>
      </c>
      <c r="S302" s="21">
        <v>3.0</v>
      </c>
      <c r="V302" s="22">
        <f t="shared" si="2"/>
        <v>75</v>
      </c>
      <c r="W302" s="21" t="s">
        <v>37</v>
      </c>
      <c r="X302" s="21" t="s">
        <v>94</v>
      </c>
      <c r="Y302" s="23">
        <v>46196.0</v>
      </c>
    </row>
    <row r="303" ht="22.5" customHeight="1">
      <c r="A303" s="20">
        <v>46196.360382743056</v>
      </c>
      <c r="B303" s="21" t="s">
        <v>32</v>
      </c>
      <c r="C303" s="21" t="s">
        <v>104</v>
      </c>
      <c r="D303" s="21" t="s">
        <v>55</v>
      </c>
      <c r="E303" s="21">
        <v>14.0</v>
      </c>
      <c r="F303" s="21" t="s">
        <v>39</v>
      </c>
      <c r="S303" s="21">
        <v>9.0</v>
      </c>
      <c r="V303" s="22">
        <f t="shared" si="2"/>
        <v>225</v>
      </c>
      <c r="W303" s="21" t="s">
        <v>37</v>
      </c>
      <c r="X303" s="21" t="s">
        <v>83</v>
      </c>
      <c r="Y303" s="23">
        <v>46196.0</v>
      </c>
    </row>
    <row r="304" ht="22.5" customHeight="1">
      <c r="A304" s="20">
        <v>46196.360771064814</v>
      </c>
      <c r="B304" s="21" t="s">
        <v>32</v>
      </c>
      <c r="C304" s="21" t="s">
        <v>104</v>
      </c>
      <c r="D304" s="21" t="s">
        <v>55</v>
      </c>
      <c r="E304" s="21">
        <v>14.0</v>
      </c>
      <c r="F304" s="21" t="s">
        <v>31</v>
      </c>
      <c r="S304" s="21">
        <v>7.0</v>
      </c>
      <c r="V304" s="22">
        <f t="shared" si="2"/>
        <v>175</v>
      </c>
      <c r="W304" s="21" t="s">
        <v>37</v>
      </c>
      <c r="X304" s="21" t="s">
        <v>83</v>
      </c>
      <c r="Y304" s="23">
        <v>46196.0</v>
      </c>
    </row>
    <row r="305" ht="22.5" customHeight="1">
      <c r="A305" s="20">
        <v>46196.36120342593</v>
      </c>
      <c r="B305" s="21" t="s">
        <v>32</v>
      </c>
      <c r="C305" s="21" t="s">
        <v>104</v>
      </c>
      <c r="D305" s="21" t="s">
        <v>55</v>
      </c>
      <c r="E305" s="21">
        <v>14.0</v>
      </c>
      <c r="F305" s="21" t="s">
        <v>44</v>
      </c>
      <c r="S305" s="21">
        <v>7.0</v>
      </c>
      <c r="V305" s="22">
        <f t="shared" si="2"/>
        <v>175</v>
      </c>
      <c r="W305" s="21" t="s">
        <v>37</v>
      </c>
      <c r="X305" s="21" t="s">
        <v>83</v>
      </c>
      <c r="Y305" s="23">
        <v>46196.0</v>
      </c>
    </row>
    <row r="306" ht="22.5" customHeight="1">
      <c r="A306" s="20">
        <v>46196.36157233796</v>
      </c>
      <c r="B306" s="21" t="s">
        <v>32</v>
      </c>
      <c r="C306" s="21" t="s">
        <v>104</v>
      </c>
      <c r="D306" s="21" t="s">
        <v>55</v>
      </c>
      <c r="E306" s="21">
        <v>14.0</v>
      </c>
      <c r="F306" s="21" t="s">
        <v>28</v>
      </c>
      <c r="Q306" s="21">
        <v>2.0</v>
      </c>
      <c r="S306" s="21">
        <v>1.0</v>
      </c>
      <c r="V306" s="22">
        <f t="shared" si="2"/>
        <v>225</v>
      </c>
      <c r="W306" s="21" t="s">
        <v>37</v>
      </c>
      <c r="X306" s="21" t="s">
        <v>83</v>
      </c>
      <c r="Y306" s="23">
        <v>46196.0</v>
      </c>
    </row>
    <row r="307" ht="22.5" customHeight="1">
      <c r="A307" s="20">
        <v>46196.3623375</v>
      </c>
      <c r="B307" s="21" t="s">
        <v>32</v>
      </c>
      <c r="C307" s="21" t="s">
        <v>104</v>
      </c>
      <c r="D307" s="21" t="s">
        <v>84</v>
      </c>
      <c r="E307" s="21">
        <v>16.0</v>
      </c>
      <c r="F307" s="21" t="s">
        <v>36</v>
      </c>
      <c r="Q307" s="21">
        <v>4.0</v>
      </c>
      <c r="V307" s="22">
        <f t="shared" si="2"/>
        <v>400</v>
      </c>
      <c r="W307" s="21" t="s">
        <v>37</v>
      </c>
      <c r="X307" s="21" t="s">
        <v>85</v>
      </c>
      <c r="Y307" s="23">
        <v>46196.0</v>
      </c>
    </row>
    <row r="308" ht="22.5" customHeight="1">
      <c r="A308" s="20">
        <v>46196.36365077546</v>
      </c>
      <c r="B308" s="21" t="s">
        <v>32</v>
      </c>
      <c r="C308" s="21" t="s">
        <v>104</v>
      </c>
      <c r="D308" s="21" t="s">
        <v>27</v>
      </c>
      <c r="E308" s="21">
        <v>12.0</v>
      </c>
      <c r="F308" s="21" t="s">
        <v>31</v>
      </c>
      <c r="S308" s="21">
        <v>2.0</v>
      </c>
      <c r="V308" s="22">
        <f t="shared" si="2"/>
        <v>50</v>
      </c>
      <c r="W308" s="21" t="s">
        <v>37</v>
      </c>
      <c r="X308" s="21" t="s">
        <v>73</v>
      </c>
      <c r="Y308" s="23">
        <v>46196.0</v>
      </c>
    </row>
    <row r="309" ht="22.5" customHeight="1">
      <c r="A309" s="20">
        <v>46196.36420797453</v>
      </c>
      <c r="B309" s="21" t="s">
        <v>32</v>
      </c>
      <c r="C309" s="21" t="s">
        <v>104</v>
      </c>
      <c r="D309" s="21" t="s">
        <v>55</v>
      </c>
      <c r="E309" s="21">
        <v>12.0</v>
      </c>
      <c r="F309" s="21" t="s">
        <v>36</v>
      </c>
      <c r="Q309" s="21">
        <v>5.0</v>
      </c>
      <c r="S309" s="21">
        <v>2.0</v>
      </c>
      <c r="V309" s="22">
        <f t="shared" si="2"/>
        <v>550</v>
      </c>
      <c r="W309" s="21" t="s">
        <v>37</v>
      </c>
      <c r="X309" s="21" t="s">
        <v>74</v>
      </c>
      <c r="Y309" s="23">
        <v>46196.0</v>
      </c>
    </row>
    <row r="310" ht="22.5" customHeight="1">
      <c r="A310" s="20">
        <v>46196.36475350695</v>
      </c>
      <c r="B310" s="21" t="s">
        <v>32</v>
      </c>
      <c r="C310" s="21" t="s">
        <v>104</v>
      </c>
      <c r="D310" s="21" t="s">
        <v>34</v>
      </c>
      <c r="E310" s="21" t="s">
        <v>46</v>
      </c>
      <c r="F310" s="21" t="s">
        <v>36</v>
      </c>
      <c r="S310" s="21">
        <v>5.0</v>
      </c>
      <c r="V310" s="22">
        <f t="shared" si="2"/>
        <v>125</v>
      </c>
      <c r="W310" s="21" t="s">
        <v>37</v>
      </c>
      <c r="X310" s="21" t="s">
        <v>86</v>
      </c>
      <c r="Y310" s="23">
        <v>46196.0</v>
      </c>
    </row>
    <row r="311" ht="22.5" customHeight="1">
      <c r="A311" s="20">
        <v>46196.36557886574</v>
      </c>
      <c r="B311" s="21" t="s">
        <v>25</v>
      </c>
      <c r="C311" s="21" t="s">
        <v>88</v>
      </c>
      <c r="D311" s="21" t="s">
        <v>53</v>
      </c>
      <c r="E311" s="21" t="s">
        <v>71</v>
      </c>
      <c r="F311" s="21" t="s">
        <v>31</v>
      </c>
      <c r="Q311" s="21">
        <v>40.0</v>
      </c>
      <c r="S311" s="21">
        <v>3.0</v>
      </c>
      <c r="V311" s="22">
        <f t="shared" si="2"/>
        <v>4075</v>
      </c>
      <c r="W311" s="21" t="s">
        <v>37</v>
      </c>
      <c r="X311" s="21" t="s">
        <v>107</v>
      </c>
      <c r="Y311" s="23">
        <v>46196.0</v>
      </c>
    </row>
    <row r="312" ht="22.5" customHeight="1">
      <c r="A312" s="20">
        <v>46197.33370611111</v>
      </c>
      <c r="B312" s="21" t="s">
        <v>32</v>
      </c>
      <c r="C312" s="21" t="s">
        <v>108</v>
      </c>
      <c r="D312" s="21" t="s">
        <v>34</v>
      </c>
      <c r="E312" s="21" t="s">
        <v>43</v>
      </c>
      <c r="F312" s="21" t="s">
        <v>36</v>
      </c>
      <c r="Q312" s="21">
        <v>132.0</v>
      </c>
      <c r="V312" s="22">
        <f t="shared" si="2"/>
        <v>13200</v>
      </c>
      <c r="W312" s="21" t="s">
        <v>37</v>
      </c>
      <c r="X312" s="21" t="s">
        <v>105</v>
      </c>
      <c r="Y312" s="23">
        <v>46197.0</v>
      </c>
    </row>
    <row r="313" ht="22.5" customHeight="1">
      <c r="A313" s="20">
        <v>46197.334732268515</v>
      </c>
      <c r="B313" s="21" t="s">
        <v>25</v>
      </c>
      <c r="C313" s="21" t="s">
        <v>97</v>
      </c>
      <c r="D313" s="21" t="s">
        <v>34</v>
      </c>
      <c r="E313" s="21" t="s">
        <v>43</v>
      </c>
      <c r="F313" s="21" t="s">
        <v>36</v>
      </c>
      <c r="Q313" s="21">
        <v>30.0</v>
      </c>
      <c r="S313" s="21">
        <v>9.0</v>
      </c>
      <c r="V313" s="22">
        <f t="shared" si="2"/>
        <v>3225</v>
      </c>
      <c r="W313" s="21" t="s">
        <v>37</v>
      </c>
      <c r="X313" s="21" t="s">
        <v>105</v>
      </c>
      <c r="Y313" s="23">
        <v>46197.0</v>
      </c>
    </row>
    <row r="314" ht="22.5" customHeight="1">
      <c r="A314" s="20">
        <v>46197.33575993056</v>
      </c>
      <c r="B314" s="21" t="s">
        <v>32</v>
      </c>
      <c r="C314" s="21" t="s">
        <v>104</v>
      </c>
      <c r="D314" s="21" t="s">
        <v>34</v>
      </c>
      <c r="E314" s="21" t="s">
        <v>51</v>
      </c>
      <c r="F314" s="21" t="s">
        <v>36</v>
      </c>
      <c r="Q314" s="21">
        <v>6.0</v>
      </c>
      <c r="S314" s="21">
        <v>22.0</v>
      </c>
      <c r="V314" s="22">
        <f t="shared" si="2"/>
        <v>1150</v>
      </c>
      <c r="W314" s="21" t="s">
        <v>37</v>
      </c>
      <c r="X314" s="21" t="s">
        <v>52</v>
      </c>
      <c r="Y314" s="23">
        <v>46197.0</v>
      </c>
    </row>
    <row r="315" ht="22.5" customHeight="1">
      <c r="A315" s="20">
        <v>46197.33617512732</v>
      </c>
      <c r="B315" s="21" t="s">
        <v>32</v>
      </c>
      <c r="C315" s="21" t="s">
        <v>104</v>
      </c>
      <c r="D315" s="21" t="s">
        <v>34</v>
      </c>
      <c r="E315" s="21" t="s">
        <v>42</v>
      </c>
      <c r="F315" s="21" t="s">
        <v>36</v>
      </c>
      <c r="S315" s="21">
        <v>9.0</v>
      </c>
      <c r="V315" s="22">
        <f t="shared" si="2"/>
        <v>225</v>
      </c>
      <c r="W315" s="21" t="s">
        <v>37</v>
      </c>
      <c r="X315" s="21" t="s">
        <v>79</v>
      </c>
      <c r="Y315" s="23">
        <v>46197.0</v>
      </c>
    </row>
    <row r="316" ht="22.5" customHeight="1">
      <c r="A316" s="20">
        <v>46197.33690850694</v>
      </c>
      <c r="B316" s="21" t="s">
        <v>25</v>
      </c>
      <c r="C316" s="21" t="s">
        <v>97</v>
      </c>
      <c r="D316" s="21" t="s">
        <v>34</v>
      </c>
      <c r="E316" s="21" t="s">
        <v>35</v>
      </c>
      <c r="F316" s="21" t="s">
        <v>36</v>
      </c>
      <c r="Q316" s="21">
        <v>140.0</v>
      </c>
      <c r="V316" s="22">
        <f t="shared" si="2"/>
        <v>14000</v>
      </c>
      <c r="W316" s="21" t="s">
        <v>37</v>
      </c>
      <c r="X316" s="21" t="s">
        <v>109</v>
      </c>
      <c r="Y316" s="23">
        <v>46197.0</v>
      </c>
    </row>
    <row r="317" ht="22.5" customHeight="1">
      <c r="A317" s="20">
        <v>46197.344021412035</v>
      </c>
      <c r="B317" s="21" t="s">
        <v>25</v>
      </c>
      <c r="C317" s="21" t="s">
        <v>97</v>
      </c>
      <c r="D317" s="21" t="s">
        <v>55</v>
      </c>
      <c r="E317" s="21">
        <v>6.0</v>
      </c>
      <c r="F317" s="21" t="s">
        <v>28</v>
      </c>
      <c r="Q317" s="21">
        <v>30.0</v>
      </c>
      <c r="S317" s="21">
        <v>1.0</v>
      </c>
      <c r="V317" s="22">
        <f t="shared" si="2"/>
        <v>3025</v>
      </c>
      <c r="W317" s="21" t="s">
        <v>37</v>
      </c>
      <c r="X317" s="21" t="s">
        <v>106</v>
      </c>
      <c r="Y317" s="23">
        <v>46197.0</v>
      </c>
    </row>
    <row r="318" ht="22.5" customHeight="1">
      <c r="A318" s="20">
        <v>46197.34645863426</v>
      </c>
      <c r="B318" s="21" t="s">
        <v>32</v>
      </c>
      <c r="C318" s="21" t="s">
        <v>96</v>
      </c>
      <c r="D318" s="21" t="s">
        <v>27</v>
      </c>
      <c r="E318" s="21">
        <v>8.0</v>
      </c>
      <c r="F318" s="21" t="s">
        <v>28</v>
      </c>
      <c r="Q318" s="21">
        <v>31.0</v>
      </c>
      <c r="S318" s="21">
        <v>3.0</v>
      </c>
      <c r="V318" s="22">
        <f t="shared" si="2"/>
        <v>3175</v>
      </c>
      <c r="W318" s="21" t="s">
        <v>37</v>
      </c>
      <c r="X318" s="21" t="s">
        <v>58</v>
      </c>
      <c r="Y318" s="23">
        <v>46197.0</v>
      </c>
    </row>
    <row r="319" ht="22.5" customHeight="1">
      <c r="A319" s="20">
        <v>46197.347670393516</v>
      </c>
      <c r="B319" s="21" t="s">
        <v>32</v>
      </c>
      <c r="C319" s="21" t="s">
        <v>108</v>
      </c>
      <c r="D319" s="21" t="s">
        <v>27</v>
      </c>
      <c r="E319" s="21">
        <v>8.0</v>
      </c>
      <c r="F319" s="21" t="s">
        <v>36</v>
      </c>
      <c r="Q319" s="21">
        <v>32.0</v>
      </c>
      <c r="S319" s="21">
        <v>42.0</v>
      </c>
      <c r="V319" s="22">
        <f t="shared" si="2"/>
        <v>4250</v>
      </c>
      <c r="W319" s="21" t="s">
        <v>29</v>
      </c>
      <c r="X319" s="21" t="s">
        <v>58</v>
      </c>
      <c r="Y319" s="23">
        <v>46197.0</v>
      </c>
    </row>
    <row r="320" ht="22.5" customHeight="1">
      <c r="A320" s="20">
        <v>46197.34893565973</v>
      </c>
      <c r="B320" s="21" t="s">
        <v>25</v>
      </c>
      <c r="C320" s="21" t="s">
        <v>110</v>
      </c>
      <c r="D320" s="21" t="s">
        <v>27</v>
      </c>
      <c r="E320" s="21">
        <v>8.0</v>
      </c>
      <c r="F320" s="21" t="s">
        <v>28</v>
      </c>
      <c r="I320" s="21">
        <v>3.0</v>
      </c>
      <c r="S320" s="21">
        <v>9.0</v>
      </c>
      <c r="V320" s="22">
        <f t="shared" si="2"/>
        <v>1725</v>
      </c>
      <c r="W320" s="21" t="s">
        <v>37</v>
      </c>
      <c r="X320" s="21" t="s">
        <v>58</v>
      </c>
      <c r="Y320" s="23">
        <v>46197.0</v>
      </c>
    </row>
    <row r="321" ht="22.5" customHeight="1">
      <c r="A321" s="20">
        <v>46197.35138416667</v>
      </c>
      <c r="B321" s="21" t="s">
        <v>25</v>
      </c>
      <c r="C321" s="21" t="s">
        <v>90</v>
      </c>
      <c r="D321" s="21" t="s">
        <v>60</v>
      </c>
      <c r="E321" s="21" t="s">
        <v>42</v>
      </c>
      <c r="F321" s="21" t="s">
        <v>31</v>
      </c>
      <c r="I321" s="21">
        <v>5.0</v>
      </c>
      <c r="V321" s="22">
        <f t="shared" si="2"/>
        <v>2500</v>
      </c>
      <c r="W321" s="21" t="s">
        <v>29</v>
      </c>
      <c r="X321" s="21" t="s">
        <v>111</v>
      </c>
      <c r="Y321" s="23">
        <v>46197.0</v>
      </c>
    </row>
    <row r="322" ht="22.5" customHeight="1">
      <c r="A322" s="20">
        <v>46197.35307927083</v>
      </c>
      <c r="B322" s="21" t="s">
        <v>25</v>
      </c>
      <c r="C322" s="21" t="s">
        <v>97</v>
      </c>
      <c r="D322" s="21" t="s">
        <v>53</v>
      </c>
      <c r="E322" s="21" t="s">
        <v>54</v>
      </c>
      <c r="F322" s="21" t="s">
        <v>31</v>
      </c>
      <c r="Q322" s="21">
        <v>4.0</v>
      </c>
      <c r="S322" s="21">
        <v>3.0</v>
      </c>
      <c r="V322" s="22">
        <f t="shared" si="2"/>
        <v>475</v>
      </c>
      <c r="W322" s="21" t="s">
        <v>37</v>
      </c>
      <c r="X322" s="21" t="s">
        <v>95</v>
      </c>
      <c r="Y322" s="23">
        <v>46197.0</v>
      </c>
    </row>
    <row r="323" ht="22.5" customHeight="1">
      <c r="A323" s="20">
        <v>46197.353648240736</v>
      </c>
      <c r="B323" s="21" t="s">
        <v>25</v>
      </c>
      <c r="C323" s="21" t="s">
        <v>97</v>
      </c>
      <c r="D323" s="21" t="s">
        <v>53</v>
      </c>
      <c r="E323" s="21" t="s">
        <v>63</v>
      </c>
      <c r="F323" s="21" t="s">
        <v>31</v>
      </c>
      <c r="Q323" s="21">
        <v>3.0</v>
      </c>
      <c r="S323" s="21">
        <v>6.0</v>
      </c>
      <c r="V323" s="22">
        <f t="shared" si="2"/>
        <v>450</v>
      </c>
      <c r="W323" s="21" t="s">
        <v>37</v>
      </c>
      <c r="X323" s="21" t="s">
        <v>89</v>
      </c>
      <c r="Y323" s="23">
        <v>46197.0</v>
      </c>
    </row>
    <row r="324" ht="22.5" customHeight="1">
      <c r="A324" s="20">
        <v>46197.35435846065</v>
      </c>
      <c r="B324" s="21" t="s">
        <v>25</v>
      </c>
      <c r="C324" s="21" t="s">
        <v>97</v>
      </c>
      <c r="D324" s="21" t="s">
        <v>53</v>
      </c>
      <c r="E324" s="21" t="s">
        <v>51</v>
      </c>
      <c r="F324" s="21" t="s">
        <v>31</v>
      </c>
      <c r="Q324" s="21">
        <v>11.0</v>
      </c>
      <c r="S324" s="21">
        <v>7.0</v>
      </c>
      <c r="V324" s="22">
        <f t="shared" si="2"/>
        <v>1275</v>
      </c>
      <c r="W324" s="21" t="s">
        <v>37</v>
      </c>
      <c r="X324" s="21" t="s">
        <v>87</v>
      </c>
      <c r="Y324" s="23">
        <v>46197.0</v>
      </c>
    </row>
    <row r="325" ht="22.5" customHeight="1">
      <c r="A325" s="20">
        <v>46197.35572997685</v>
      </c>
      <c r="B325" s="21" t="s">
        <v>32</v>
      </c>
      <c r="C325" s="21" t="s">
        <v>112</v>
      </c>
      <c r="D325" s="21" t="s">
        <v>53</v>
      </c>
      <c r="E325" s="21" t="s">
        <v>71</v>
      </c>
      <c r="F325" s="21" t="s">
        <v>31</v>
      </c>
      <c r="Q325" s="21">
        <v>57.0</v>
      </c>
      <c r="S325" s="21">
        <v>3.0</v>
      </c>
      <c r="V325" s="22">
        <f t="shared" si="2"/>
        <v>5775</v>
      </c>
      <c r="W325" s="21" t="s">
        <v>37</v>
      </c>
      <c r="X325" s="21" t="s">
        <v>107</v>
      </c>
      <c r="Y325" s="23">
        <v>46197.0</v>
      </c>
    </row>
    <row r="326" ht="22.5" customHeight="1">
      <c r="A326" s="20">
        <v>46198.33811336805</v>
      </c>
      <c r="B326" s="21" t="s">
        <v>32</v>
      </c>
      <c r="C326" s="21" t="s">
        <v>81</v>
      </c>
      <c r="D326" s="21" t="s">
        <v>34</v>
      </c>
      <c r="E326" s="21" t="s">
        <v>42</v>
      </c>
      <c r="F326" s="21" t="s">
        <v>36</v>
      </c>
      <c r="I326" s="21">
        <v>40.0</v>
      </c>
      <c r="V326" s="22">
        <f t="shared" si="2"/>
        <v>20000</v>
      </c>
      <c r="W326" s="21" t="s">
        <v>37</v>
      </c>
      <c r="X326" s="21" t="s">
        <v>79</v>
      </c>
      <c r="Y326" s="23">
        <v>46198.0</v>
      </c>
    </row>
    <row r="327" ht="22.5" customHeight="1">
      <c r="A327" s="20">
        <v>46198.341518229165</v>
      </c>
      <c r="B327" s="21" t="s">
        <v>25</v>
      </c>
      <c r="C327" s="21" t="s">
        <v>97</v>
      </c>
      <c r="D327" s="21" t="s">
        <v>34</v>
      </c>
      <c r="E327" s="21" t="s">
        <v>42</v>
      </c>
      <c r="F327" s="21" t="s">
        <v>36</v>
      </c>
      <c r="Q327" s="21">
        <v>105.0</v>
      </c>
      <c r="S327" s="21">
        <v>7.0</v>
      </c>
      <c r="V327" s="22">
        <f t="shared" si="2"/>
        <v>10675</v>
      </c>
      <c r="W327" s="21" t="s">
        <v>37</v>
      </c>
      <c r="X327" s="21" t="s">
        <v>79</v>
      </c>
      <c r="Y327" s="23">
        <v>46198.0</v>
      </c>
    </row>
    <row r="328" ht="22.5" customHeight="1">
      <c r="A328" s="20">
        <v>46198.34264177083</v>
      </c>
      <c r="B328" s="21" t="s">
        <v>32</v>
      </c>
      <c r="C328" s="21" t="s">
        <v>81</v>
      </c>
      <c r="D328" s="21" t="s">
        <v>34</v>
      </c>
      <c r="E328" s="21" t="s">
        <v>42</v>
      </c>
      <c r="F328" s="21" t="s">
        <v>36</v>
      </c>
      <c r="I328" s="21">
        <v>33.0</v>
      </c>
      <c r="V328" s="22">
        <f t="shared" si="2"/>
        <v>16500</v>
      </c>
      <c r="W328" s="21" t="s">
        <v>37</v>
      </c>
      <c r="X328" s="21" t="s">
        <v>79</v>
      </c>
      <c r="Y328" s="23">
        <v>46198.0</v>
      </c>
    </row>
    <row r="329" ht="22.5" customHeight="1">
      <c r="A329" s="20">
        <v>46198.34398310185</v>
      </c>
      <c r="B329" s="21" t="s">
        <v>25</v>
      </c>
      <c r="C329" s="21" t="s">
        <v>97</v>
      </c>
      <c r="D329" s="21" t="s">
        <v>34</v>
      </c>
      <c r="E329" s="21" t="s">
        <v>51</v>
      </c>
      <c r="F329" s="21" t="s">
        <v>36</v>
      </c>
      <c r="Q329" s="21">
        <v>77.0</v>
      </c>
      <c r="S329" s="21">
        <v>1.0</v>
      </c>
      <c r="V329" s="22">
        <f t="shared" si="2"/>
        <v>7725</v>
      </c>
      <c r="W329" s="21" t="s">
        <v>37</v>
      </c>
      <c r="X329" s="21" t="s">
        <v>52</v>
      </c>
      <c r="Y329" s="23">
        <v>46198.0</v>
      </c>
    </row>
    <row r="330" ht="22.5" customHeight="1">
      <c r="A330" s="20">
        <v>46198.34498318287</v>
      </c>
      <c r="B330" s="21" t="s">
        <v>32</v>
      </c>
      <c r="C330" s="21" t="s">
        <v>108</v>
      </c>
      <c r="D330" s="21" t="s">
        <v>34</v>
      </c>
      <c r="E330" s="21" t="s">
        <v>35</v>
      </c>
      <c r="F330" s="21" t="s">
        <v>36</v>
      </c>
      <c r="Q330" s="21">
        <v>181.0</v>
      </c>
      <c r="S330" s="21">
        <v>3.0</v>
      </c>
      <c r="V330" s="22">
        <f t="shared" si="2"/>
        <v>18175</v>
      </c>
      <c r="W330" s="21" t="s">
        <v>37</v>
      </c>
      <c r="X330" s="21" t="s">
        <v>109</v>
      </c>
      <c r="Y330" s="23">
        <v>46198.0</v>
      </c>
    </row>
    <row r="331" ht="22.5" customHeight="1">
      <c r="A331" s="20">
        <v>46198.34606045139</v>
      </c>
      <c r="B331" s="21" t="s">
        <v>32</v>
      </c>
      <c r="C331" s="21" t="s">
        <v>81</v>
      </c>
      <c r="D331" s="21" t="s">
        <v>60</v>
      </c>
      <c r="E331" s="21" t="s">
        <v>42</v>
      </c>
      <c r="F331" s="21" t="s">
        <v>31</v>
      </c>
      <c r="Q331" s="21">
        <v>70.0</v>
      </c>
      <c r="V331" s="22">
        <f t="shared" si="2"/>
        <v>7000</v>
      </c>
      <c r="W331" s="21" t="s">
        <v>37</v>
      </c>
      <c r="X331" s="21" t="s">
        <v>111</v>
      </c>
      <c r="Y331" s="23">
        <v>46198.0</v>
      </c>
    </row>
    <row r="332" ht="22.5" customHeight="1">
      <c r="A332" s="20">
        <v>46198.34665748842</v>
      </c>
      <c r="B332" s="21" t="s">
        <v>32</v>
      </c>
      <c r="C332" s="21" t="s">
        <v>104</v>
      </c>
      <c r="D332" s="21" t="s">
        <v>34</v>
      </c>
      <c r="E332" s="21" t="s">
        <v>43</v>
      </c>
      <c r="F332" s="21" t="s">
        <v>36</v>
      </c>
      <c r="S332" s="21">
        <v>1.0</v>
      </c>
      <c r="V332" s="22">
        <f t="shared" si="2"/>
        <v>25</v>
      </c>
      <c r="W332" s="21" t="s">
        <v>37</v>
      </c>
      <c r="X332" s="21" t="s">
        <v>105</v>
      </c>
      <c r="Y332" s="23">
        <v>46198.0</v>
      </c>
    </row>
    <row r="333" ht="22.5" customHeight="1">
      <c r="A333" s="20">
        <v>46198.347244502314</v>
      </c>
      <c r="B333" s="21" t="s">
        <v>32</v>
      </c>
      <c r="C333" s="21" t="s">
        <v>104</v>
      </c>
      <c r="D333" s="21" t="s">
        <v>55</v>
      </c>
      <c r="E333" s="21">
        <v>10.0</v>
      </c>
      <c r="F333" s="21" t="s">
        <v>36</v>
      </c>
      <c r="Q333" s="21">
        <v>2.0</v>
      </c>
      <c r="V333" s="22">
        <f t="shared" si="2"/>
        <v>200</v>
      </c>
      <c r="W333" s="21" t="s">
        <v>37</v>
      </c>
      <c r="X333" s="21" t="s">
        <v>113</v>
      </c>
      <c r="Y333" s="23">
        <v>46198.0</v>
      </c>
    </row>
    <row r="334" ht="22.5" customHeight="1">
      <c r="A334" s="20">
        <v>46198.34775143518</v>
      </c>
      <c r="B334" s="21" t="s">
        <v>32</v>
      </c>
      <c r="C334" s="21" t="s">
        <v>104</v>
      </c>
      <c r="D334" s="21" t="s">
        <v>55</v>
      </c>
      <c r="E334" s="21">
        <v>10.0</v>
      </c>
      <c r="F334" s="21" t="s">
        <v>38</v>
      </c>
      <c r="Q334" s="21">
        <v>1.0</v>
      </c>
      <c r="S334" s="21">
        <v>3.0</v>
      </c>
      <c r="V334" s="22">
        <f t="shared" si="2"/>
        <v>175</v>
      </c>
      <c r="W334" s="21" t="s">
        <v>37</v>
      </c>
      <c r="X334" s="21" t="s">
        <v>113</v>
      </c>
      <c r="Y334" s="23">
        <v>46198.0</v>
      </c>
    </row>
    <row r="335" ht="22.5" customHeight="1">
      <c r="A335" s="20">
        <v>46198.348401435185</v>
      </c>
      <c r="B335" s="21" t="s">
        <v>32</v>
      </c>
      <c r="C335" s="21" t="s">
        <v>104</v>
      </c>
      <c r="D335" s="21" t="s">
        <v>27</v>
      </c>
      <c r="E335" s="21">
        <v>8.0</v>
      </c>
      <c r="F335" s="21" t="s">
        <v>31</v>
      </c>
      <c r="S335" s="21">
        <v>3.0</v>
      </c>
      <c r="V335" s="22">
        <f t="shared" si="2"/>
        <v>75</v>
      </c>
      <c r="W335" s="21" t="s">
        <v>29</v>
      </c>
      <c r="X335" s="21" t="s">
        <v>58</v>
      </c>
      <c r="Y335" s="23">
        <v>46198.0</v>
      </c>
    </row>
    <row r="336" ht="22.5" customHeight="1">
      <c r="A336" s="20">
        <v>46198.34896707176</v>
      </c>
      <c r="B336" s="21" t="s">
        <v>32</v>
      </c>
      <c r="C336" s="21" t="s">
        <v>104</v>
      </c>
      <c r="D336" s="21" t="s">
        <v>55</v>
      </c>
      <c r="E336" s="21">
        <v>14.0</v>
      </c>
      <c r="F336" s="21" t="s">
        <v>36</v>
      </c>
      <c r="Q336" s="21">
        <v>2.0</v>
      </c>
      <c r="S336" s="21">
        <v>1.0</v>
      </c>
      <c r="V336" s="22">
        <f t="shared" si="2"/>
        <v>225</v>
      </c>
      <c r="W336" s="21" t="s">
        <v>37</v>
      </c>
      <c r="X336" s="21" t="s">
        <v>91</v>
      </c>
      <c r="Y336" s="23">
        <v>46198.0</v>
      </c>
    </row>
    <row r="337" ht="22.5" customHeight="1">
      <c r="A337" s="20">
        <v>46198.34926855324</v>
      </c>
      <c r="B337" s="21" t="s">
        <v>32</v>
      </c>
      <c r="C337" s="21" t="s">
        <v>104</v>
      </c>
      <c r="D337" s="21" t="s">
        <v>55</v>
      </c>
      <c r="E337" s="21">
        <v>14.0</v>
      </c>
      <c r="F337" s="21" t="s">
        <v>39</v>
      </c>
      <c r="Q337" s="21">
        <v>1.0</v>
      </c>
      <c r="V337" s="22">
        <f t="shared" si="2"/>
        <v>100</v>
      </c>
      <c r="W337" s="21" t="s">
        <v>37</v>
      </c>
      <c r="X337" s="21" t="s">
        <v>83</v>
      </c>
      <c r="Y337" s="23">
        <v>46198.0</v>
      </c>
    </row>
    <row r="338" ht="22.5" customHeight="1">
      <c r="A338" s="20">
        <v>46198.350367673615</v>
      </c>
      <c r="B338" s="21" t="s">
        <v>32</v>
      </c>
      <c r="C338" s="21" t="s">
        <v>104</v>
      </c>
      <c r="D338" s="21" t="s">
        <v>55</v>
      </c>
      <c r="E338" s="21">
        <v>8.0</v>
      </c>
      <c r="F338" s="21" t="s">
        <v>38</v>
      </c>
      <c r="Q338" s="21">
        <v>3.0</v>
      </c>
      <c r="S338" s="21">
        <v>2.0</v>
      </c>
      <c r="V338" s="22">
        <f t="shared" si="2"/>
        <v>350</v>
      </c>
      <c r="W338" s="21" t="s">
        <v>37</v>
      </c>
      <c r="X338" s="21" t="s">
        <v>114</v>
      </c>
      <c r="Y338" s="23">
        <v>46198.0</v>
      </c>
    </row>
    <row r="339" ht="22.5" customHeight="1">
      <c r="A339" s="20">
        <v>46198.35071545139</v>
      </c>
      <c r="B339" s="21" t="s">
        <v>32</v>
      </c>
      <c r="C339" s="21" t="s">
        <v>104</v>
      </c>
      <c r="D339" s="21" t="s">
        <v>55</v>
      </c>
      <c r="E339" s="21">
        <v>8.0</v>
      </c>
      <c r="F339" s="21" t="s">
        <v>31</v>
      </c>
      <c r="S339" s="21">
        <v>2.0</v>
      </c>
      <c r="V339" s="22">
        <f t="shared" si="2"/>
        <v>50</v>
      </c>
      <c r="W339" s="21" t="s">
        <v>37</v>
      </c>
      <c r="X339" s="21" t="s">
        <v>114</v>
      </c>
      <c r="Y339" s="23">
        <v>46198.0</v>
      </c>
    </row>
    <row r="340" ht="22.5" customHeight="1">
      <c r="A340" s="20">
        <v>46198.351265115736</v>
      </c>
      <c r="B340" s="21" t="s">
        <v>32</v>
      </c>
      <c r="C340" s="21" t="s">
        <v>104</v>
      </c>
      <c r="D340" s="21" t="s">
        <v>55</v>
      </c>
      <c r="E340" s="21">
        <v>8.0</v>
      </c>
      <c r="F340" s="21" t="s">
        <v>36</v>
      </c>
      <c r="S340" s="21">
        <v>2.0</v>
      </c>
      <c r="V340" s="22">
        <f t="shared" si="2"/>
        <v>50</v>
      </c>
      <c r="W340" s="21" t="s">
        <v>37</v>
      </c>
      <c r="X340" s="21" t="s">
        <v>114</v>
      </c>
      <c r="Y340" s="23">
        <v>46198.0</v>
      </c>
    </row>
    <row r="341" ht="22.5" customHeight="1">
      <c r="A341" s="20">
        <v>46198.35188152778</v>
      </c>
      <c r="B341" s="21" t="s">
        <v>32</v>
      </c>
      <c r="C341" s="21" t="s">
        <v>104</v>
      </c>
      <c r="D341" s="21" t="s">
        <v>55</v>
      </c>
      <c r="E341" s="21">
        <v>6.0</v>
      </c>
      <c r="F341" s="21" t="s">
        <v>28</v>
      </c>
      <c r="S341" s="21">
        <v>2.0</v>
      </c>
      <c r="V341" s="22">
        <f t="shared" si="2"/>
        <v>50</v>
      </c>
      <c r="W341" s="21" t="s">
        <v>37</v>
      </c>
      <c r="X341" s="21" t="s">
        <v>106</v>
      </c>
      <c r="Y341" s="23">
        <v>46198.0</v>
      </c>
    </row>
    <row r="342" ht="22.5" customHeight="1">
      <c r="A342" s="20">
        <v>46198.35250444444</v>
      </c>
      <c r="B342" s="21" t="s">
        <v>32</v>
      </c>
      <c r="C342" s="21" t="s">
        <v>104</v>
      </c>
      <c r="D342" s="21" t="s">
        <v>55</v>
      </c>
      <c r="E342" s="21">
        <v>12.0</v>
      </c>
      <c r="F342" s="21" t="s">
        <v>31</v>
      </c>
      <c r="Q342" s="21">
        <v>3.0</v>
      </c>
      <c r="S342" s="21">
        <v>2.0</v>
      </c>
      <c r="V342" s="22">
        <f t="shared" si="2"/>
        <v>350</v>
      </c>
      <c r="W342" s="21" t="s">
        <v>37</v>
      </c>
      <c r="X342" s="21" t="s">
        <v>78</v>
      </c>
      <c r="Y342" s="23">
        <v>46198.0</v>
      </c>
    </row>
    <row r="343" ht="22.5" customHeight="1">
      <c r="A343" s="20">
        <v>46198.3529075463</v>
      </c>
      <c r="B343" s="21" t="s">
        <v>32</v>
      </c>
      <c r="C343" s="21" t="s">
        <v>104</v>
      </c>
      <c r="D343" s="21" t="s">
        <v>55</v>
      </c>
      <c r="E343" s="21">
        <v>12.0</v>
      </c>
      <c r="F343" s="21" t="s">
        <v>36</v>
      </c>
      <c r="Q343" s="21">
        <v>3.0</v>
      </c>
      <c r="V343" s="22">
        <f t="shared" si="2"/>
        <v>300</v>
      </c>
      <c r="W343" s="21" t="s">
        <v>37</v>
      </c>
      <c r="X343" s="21" t="s">
        <v>78</v>
      </c>
      <c r="Y343" s="23">
        <v>46198.0</v>
      </c>
    </row>
    <row r="344" ht="22.5" customHeight="1">
      <c r="A344" s="20">
        <v>46198.353288321756</v>
      </c>
      <c r="B344" s="21" t="s">
        <v>32</v>
      </c>
      <c r="C344" s="21" t="s">
        <v>104</v>
      </c>
      <c r="D344" s="21" t="s">
        <v>55</v>
      </c>
      <c r="E344" s="21">
        <v>12.0</v>
      </c>
      <c r="F344" s="21" t="s">
        <v>36</v>
      </c>
      <c r="Q344" s="21">
        <v>3.0</v>
      </c>
      <c r="V344" s="22">
        <f t="shared" si="2"/>
        <v>300</v>
      </c>
      <c r="W344" s="21" t="s">
        <v>37</v>
      </c>
      <c r="X344" s="21" t="s">
        <v>78</v>
      </c>
      <c r="Y344" s="23">
        <v>46198.0</v>
      </c>
    </row>
    <row r="345" ht="22.5" customHeight="1">
      <c r="A345" s="20">
        <v>46198.353704594905</v>
      </c>
      <c r="B345" s="21" t="s">
        <v>32</v>
      </c>
      <c r="C345" s="21" t="s">
        <v>104</v>
      </c>
      <c r="D345" s="21" t="s">
        <v>84</v>
      </c>
      <c r="E345" s="21">
        <v>16.0</v>
      </c>
      <c r="F345" s="21" t="s">
        <v>31</v>
      </c>
      <c r="Q345" s="21">
        <v>1.0</v>
      </c>
      <c r="S345" s="21">
        <v>1.0</v>
      </c>
      <c r="V345" s="22">
        <f t="shared" si="2"/>
        <v>125</v>
      </c>
      <c r="W345" s="21" t="s">
        <v>37</v>
      </c>
      <c r="X345" s="21" t="s">
        <v>115</v>
      </c>
      <c r="Y345" s="23">
        <v>46198.0</v>
      </c>
    </row>
    <row r="346" ht="22.5" customHeight="1">
      <c r="A346" s="20">
        <v>46199.340052314816</v>
      </c>
      <c r="B346" s="21" t="s">
        <v>32</v>
      </c>
      <c r="C346" s="21" t="s">
        <v>47</v>
      </c>
      <c r="D346" s="21" t="s">
        <v>34</v>
      </c>
      <c r="E346" s="21" t="s">
        <v>42</v>
      </c>
      <c r="F346" s="21" t="s">
        <v>36</v>
      </c>
      <c r="I346" s="21"/>
      <c r="V346" s="22">
        <f t="shared" si="2"/>
        <v>0</v>
      </c>
      <c r="W346" s="21" t="s">
        <v>37</v>
      </c>
      <c r="X346" s="21" t="s">
        <v>79</v>
      </c>
      <c r="Y346" s="23">
        <v>46199.0</v>
      </c>
    </row>
    <row r="347" ht="22.5" customHeight="1">
      <c r="A347" s="20">
        <v>46199.341838831024</v>
      </c>
      <c r="B347" s="21" t="s">
        <v>32</v>
      </c>
      <c r="C347" s="21" t="s">
        <v>108</v>
      </c>
      <c r="D347" s="21" t="s">
        <v>34</v>
      </c>
      <c r="E347" s="21" t="s">
        <v>42</v>
      </c>
      <c r="F347" s="21" t="s">
        <v>36</v>
      </c>
      <c r="Q347" s="21">
        <v>207.0</v>
      </c>
      <c r="S347" s="21">
        <v>17.0</v>
      </c>
      <c r="V347" s="22">
        <f t="shared" si="2"/>
        <v>21125</v>
      </c>
      <c r="W347" s="21" t="s">
        <v>37</v>
      </c>
      <c r="X347" s="21" t="s">
        <v>79</v>
      </c>
      <c r="Y347" s="23">
        <v>46199.0</v>
      </c>
    </row>
    <row r="348" ht="22.5" customHeight="1">
      <c r="A348" s="20">
        <v>46199.3431165625</v>
      </c>
      <c r="B348" s="21" t="s">
        <v>25</v>
      </c>
      <c r="C348" s="21" t="s">
        <v>97</v>
      </c>
      <c r="D348" s="21" t="s">
        <v>34</v>
      </c>
      <c r="E348" s="21" t="s">
        <v>35</v>
      </c>
      <c r="F348" s="21" t="s">
        <v>36</v>
      </c>
      <c r="Q348" s="21">
        <v>177.0</v>
      </c>
      <c r="S348" s="21">
        <v>2.0</v>
      </c>
      <c r="V348" s="22">
        <f t="shared" si="2"/>
        <v>17750</v>
      </c>
      <c r="W348" s="21" t="s">
        <v>37</v>
      </c>
      <c r="X348" s="21" t="s">
        <v>109</v>
      </c>
      <c r="Y348" s="23">
        <v>46199.0</v>
      </c>
    </row>
    <row r="349" ht="22.5" customHeight="1">
      <c r="A349" s="20">
        <v>46199.34461181713</v>
      </c>
      <c r="B349" s="21" t="s">
        <v>25</v>
      </c>
      <c r="C349" s="21" t="s">
        <v>97</v>
      </c>
      <c r="D349" s="21" t="s">
        <v>34</v>
      </c>
      <c r="E349" s="21" t="s">
        <v>43</v>
      </c>
      <c r="F349" s="21" t="s">
        <v>36</v>
      </c>
      <c r="Q349" s="21">
        <v>45.0</v>
      </c>
      <c r="S349" s="21">
        <v>2.0</v>
      </c>
      <c r="V349" s="22">
        <f t="shared" si="2"/>
        <v>4550</v>
      </c>
      <c r="W349" s="21" t="s">
        <v>37</v>
      </c>
      <c r="X349" s="21" t="s">
        <v>105</v>
      </c>
      <c r="Y349" s="23">
        <v>46199.0</v>
      </c>
    </row>
    <row r="350" ht="22.5" customHeight="1">
      <c r="A350" s="20">
        <v>46199.34566136574</v>
      </c>
      <c r="B350" s="21" t="s">
        <v>32</v>
      </c>
      <c r="C350" s="21" t="s">
        <v>116</v>
      </c>
      <c r="D350" s="21" t="s">
        <v>55</v>
      </c>
      <c r="E350" s="21">
        <v>10.0</v>
      </c>
      <c r="F350" s="21" t="s">
        <v>44</v>
      </c>
      <c r="V350" s="22">
        <f t="shared" si="2"/>
        <v>0</v>
      </c>
      <c r="W350" s="21" t="s">
        <v>37</v>
      </c>
      <c r="X350" s="21" t="s">
        <v>94</v>
      </c>
      <c r="Y350" s="23">
        <v>46199.0</v>
      </c>
    </row>
    <row r="351" ht="22.5" customHeight="1">
      <c r="A351" s="20">
        <v>46199.34754980324</v>
      </c>
      <c r="B351" s="21" t="s">
        <v>32</v>
      </c>
      <c r="C351" s="21" t="s">
        <v>117</v>
      </c>
      <c r="D351" s="21" t="s">
        <v>53</v>
      </c>
      <c r="E351" s="21" t="s">
        <v>63</v>
      </c>
      <c r="F351" s="21" t="s">
        <v>31</v>
      </c>
      <c r="Q351" s="21">
        <v>54.0</v>
      </c>
      <c r="V351" s="22">
        <f t="shared" si="2"/>
        <v>5400</v>
      </c>
      <c r="W351" s="21" t="s">
        <v>37</v>
      </c>
      <c r="X351" s="21" t="s">
        <v>89</v>
      </c>
      <c r="Y351" s="23">
        <v>46199.0</v>
      </c>
    </row>
    <row r="352" ht="22.5" customHeight="1">
      <c r="A352" s="20">
        <v>46199.3528440625</v>
      </c>
      <c r="B352" s="21" t="s">
        <v>32</v>
      </c>
      <c r="C352" s="21" t="s">
        <v>118</v>
      </c>
      <c r="D352" s="21" t="s">
        <v>53</v>
      </c>
      <c r="E352" s="21" t="s">
        <v>63</v>
      </c>
      <c r="F352" s="21" t="s">
        <v>31</v>
      </c>
      <c r="Q352" s="21">
        <v>40.0</v>
      </c>
      <c r="V352" s="22">
        <f t="shared" si="2"/>
        <v>4000</v>
      </c>
      <c r="W352" s="21" t="s">
        <v>37</v>
      </c>
      <c r="X352" s="21" t="s">
        <v>89</v>
      </c>
      <c r="Y352" s="23">
        <v>46199.0</v>
      </c>
    </row>
    <row r="353" ht="22.5" customHeight="1">
      <c r="A353" s="20">
        <v>46199.35468478009</v>
      </c>
      <c r="B353" s="21" t="s">
        <v>25</v>
      </c>
      <c r="C353" s="21" t="s">
        <v>88</v>
      </c>
      <c r="D353" s="21" t="s">
        <v>53</v>
      </c>
      <c r="E353" s="21" t="s">
        <v>119</v>
      </c>
      <c r="F353" s="21" t="s">
        <v>31</v>
      </c>
      <c r="Q353" s="21">
        <v>29.0</v>
      </c>
      <c r="V353" s="22">
        <f t="shared" si="2"/>
        <v>2900</v>
      </c>
      <c r="W353" s="21" t="s">
        <v>37</v>
      </c>
      <c r="X353" s="21" t="s">
        <v>120</v>
      </c>
      <c r="Y353" s="23">
        <v>46199.0</v>
      </c>
    </row>
    <row r="354" ht="22.5" customHeight="1">
      <c r="A354" s="20">
        <v>46199.35630043982</v>
      </c>
      <c r="B354" s="21" t="s">
        <v>32</v>
      </c>
      <c r="C354" s="21" t="s">
        <v>121</v>
      </c>
      <c r="D354" s="21" t="s">
        <v>34</v>
      </c>
      <c r="E354" s="21" t="s">
        <v>51</v>
      </c>
      <c r="F354" s="21" t="s">
        <v>36</v>
      </c>
      <c r="T354" s="21">
        <v>36.0</v>
      </c>
      <c r="V354" s="22">
        <f t="shared" si="2"/>
        <v>360</v>
      </c>
      <c r="W354" s="21" t="s">
        <v>37</v>
      </c>
      <c r="X354" s="21" t="s">
        <v>52</v>
      </c>
      <c r="Y354" s="23">
        <v>46199.0</v>
      </c>
    </row>
    <row r="355" ht="22.5" customHeight="1">
      <c r="A355" s="20">
        <v>46199.36008449074</v>
      </c>
      <c r="B355" s="21" t="s">
        <v>32</v>
      </c>
      <c r="C355" s="21" t="s">
        <v>40</v>
      </c>
      <c r="D355" s="21" t="s">
        <v>34</v>
      </c>
      <c r="E355" s="21" t="s">
        <v>35</v>
      </c>
      <c r="F355" s="21" t="s">
        <v>36</v>
      </c>
      <c r="I355" s="21">
        <v>53.0</v>
      </c>
      <c r="V355" s="22">
        <f t="shared" si="2"/>
        <v>26500</v>
      </c>
      <c r="W355" s="21" t="s">
        <v>37</v>
      </c>
      <c r="X355" s="21" t="s">
        <v>109</v>
      </c>
      <c r="Y355" s="23">
        <v>46199.0</v>
      </c>
    </row>
    <row r="356" ht="22.5" customHeight="1">
      <c r="A356" s="20">
        <v>46202.32760429398</v>
      </c>
      <c r="B356" s="21" t="s">
        <v>32</v>
      </c>
      <c r="C356" s="21" t="s">
        <v>96</v>
      </c>
      <c r="D356" s="21" t="s">
        <v>34</v>
      </c>
      <c r="E356" s="21" t="s">
        <v>92</v>
      </c>
      <c r="F356" s="21" t="s">
        <v>36</v>
      </c>
      <c r="Q356" s="21">
        <v>43.0</v>
      </c>
      <c r="V356" s="22">
        <f t="shared" si="2"/>
        <v>4300</v>
      </c>
      <c r="W356" s="21" t="s">
        <v>37</v>
      </c>
      <c r="X356" s="21" t="s">
        <v>93</v>
      </c>
      <c r="Y356" s="23">
        <v>46202.0</v>
      </c>
    </row>
    <row r="357" ht="22.5" customHeight="1">
      <c r="A357" s="20">
        <v>46202.32949256944</v>
      </c>
      <c r="B357" s="21" t="s">
        <v>25</v>
      </c>
      <c r="C357" s="21" t="s">
        <v>97</v>
      </c>
      <c r="D357" s="21" t="s">
        <v>34</v>
      </c>
      <c r="E357" s="21" t="s">
        <v>92</v>
      </c>
      <c r="F357" s="21" t="s">
        <v>36</v>
      </c>
      <c r="Q357" s="21">
        <v>165.0</v>
      </c>
      <c r="S357" s="21">
        <v>4.0</v>
      </c>
      <c r="V357" s="22">
        <f t="shared" si="2"/>
        <v>16600</v>
      </c>
      <c r="W357" s="21" t="s">
        <v>37</v>
      </c>
      <c r="X357" s="21" t="s">
        <v>93</v>
      </c>
      <c r="Y357" s="23">
        <v>46202.0</v>
      </c>
    </row>
    <row r="358" ht="22.5" customHeight="1">
      <c r="A358" s="20">
        <v>46202.33044881944</v>
      </c>
      <c r="B358" s="21" t="s">
        <v>32</v>
      </c>
      <c r="C358" s="21" t="s">
        <v>96</v>
      </c>
      <c r="D358" s="21" t="s">
        <v>34</v>
      </c>
      <c r="E358" s="21" t="s">
        <v>35</v>
      </c>
      <c r="F358" s="21" t="s">
        <v>36</v>
      </c>
      <c r="Q358" s="21">
        <v>197.0</v>
      </c>
      <c r="S358" s="21">
        <v>13.0</v>
      </c>
      <c r="V358" s="22">
        <f t="shared" si="2"/>
        <v>20025</v>
      </c>
      <c r="W358" s="21" t="s">
        <v>37</v>
      </c>
      <c r="X358" s="21" t="s">
        <v>109</v>
      </c>
      <c r="Y358" s="23">
        <v>46202.0</v>
      </c>
    </row>
    <row r="359" ht="22.5" customHeight="1">
      <c r="A359" s="20">
        <v>46202.332429629634</v>
      </c>
      <c r="B359" s="21" t="s">
        <v>25</v>
      </c>
      <c r="C359" s="21" t="s">
        <v>97</v>
      </c>
      <c r="D359" s="21" t="s">
        <v>34</v>
      </c>
      <c r="E359" s="21" t="s">
        <v>35</v>
      </c>
      <c r="F359" s="21" t="s">
        <v>36</v>
      </c>
      <c r="Q359" s="21">
        <v>125.0</v>
      </c>
      <c r="V359" s="22">
        <f t="shared" si="2"/>
        <v>12500</v>
      </c>
      <c r="W359" s="21" t="s">
        <v>37</v>
      </c>
      <c r="X359" s="21" t="s">
        <v>109</v>
      </c>
      <c r="Y359" s="23">
        <v>46202.0</v>
      </c>
    </row>
    <row r="360" ht="22.5" customHeight="1">
      <c r="A360" s="20">
        <v>46202.335283402776</v>
      </c>
      <c r="B360" s="21" t="s">
        <v>32</v>
      </c>
      <c r="C360" s="21" t="s">
        <v>81</v>
      </c>
      <c r="D360" s="21" t="s">
        <v>34</v>
      </c>
      <c r="E360" s="21" t="s">
        <v>35</v>
      </c>
      <c r="F360" s="21" t="s">
        <v>36</v>
      </c>
      <c r="I360" s="21">
        <v>17.0</v>
      </c>
      <c r="S360" s="21">
        <v>8.0</v>
      </c>
      <c r="V360" s="22">
        <f t="shared" si="2"/>
        <v>8700</v>
      </c>
      <c r="W360" s="21" t="s">
        <v>37</v>
      </c>
      <c r="X360" s="21" t="s">
        <v>109</v>
      </c>
      <c r="Y360" s="23">
        <v>46202.0</v>
      </c>
    </row>
    <row r="361" ht="22.5" customHeight="1">
      <c r="A361" s="20">
        <v>46202.33911202547</v>
      </c>
      <c r="B361" s="21" t="s">
        <v>32</v>
      </c>
      <c r="C361" s="21" t="s">
        <v>108</v>
      </c>
      <c r="D361" s="21" t="s">
        <v>34</v>
      </c>
      <c r="E361" s="21" t="s">
        <v>43</v>
      </c>
      <c r="F361" s="21" t="s">
        <v>36</v>
      </c>
      <c r="Q361" s="21">
        <v>109.0</v>
      </c>
      <c r="S361" s="21">
        <v>15.0</v>
      </c>
      <c r="V361" s="22">
        <f t="shared" si="2"/>
        <v>11275</v>
      </c>
      <c r="W361" s="21" t="s">
        <v>37</v>
      </c>
      <c r="X361" s="21" t="s">
        <v>105</v>
      </c>
      <c r="Y361" s="23">
        <v>46202.0</v>
      </c>
    </row>
    <row r="362" ht="22.5" customHeight="1">
      <c r="A362" s="20">
        <v>46202.34511134259</v>
      </c>
      <c r="B362" s="21" t="s">
        <v>32</v>
      </c>
      <c r="C362" s="21" t="s">
        <v>96</v>
      </c>
      <c r="D362" s="21" t="s">
        <v>34</v>
      </c>
      <c r="E362" s="21" t="s">
        <v>42</v>
      </c>
      <c r="F362" s="21" t="s">
        <v>36</v>
      </c>
      <c r="Q362" s="21">
        <v>14.0</v>
      </c>
      <c r="S362" s="21">
        <v>39.0</v>
      </c>
      <c r="V362" s="22">
        <f t="shared" si="2"/>
        <v>2375</v>
      </c>
      <c r="W362" s="21" t="s">
        <v>37</v>
      </c>
      <c r="X362" s="21" t="s">
        <v>79</v>
      </c>
      <c r="Y362" s="23">
        <v>46202.0</v>
      </c>
    </row>
    <row r="363" ht="22.5" customHeight="1">
      <c r="A363" s="20">
        <v>46202.346199374995</v>
      </c>
      <c r="B363" s="21" t="s">
        <v>32</v>
      </c>
      <c r="C363" s="21" t="s">
        <v>104</v>
      </c>
      <c r="D363" s="21" t="s">
        <v>34</v>
      </c>
      <c r="E363" s="21" t="s">
        <v>51</v>
      </c>
      <c r="F363" s="21" t="s">
        <v>36</v>
      </c>
      <c r="Q363" s="21">
        <v>1.0</v>
      </c>
      <c r="S363" s="21">
        <v>5.0</v>
      </c>
      <c r="V363" s="22">
        <f t="shared" si="2"/>
        <v>225</v>
      </c>
      <c r="W363" s="21" t="s">
        <v>37</v>
      </c>
      <c r="X363" s="21" t="s">
        <v>52</v>
      </c>
      <c r="Y363" s="23">
        <v>46202.0</v>
      </c>
    </row>
    <row r="364" ht="22.5" customHeight="1">
      <c r="A364" s="20">
        <v>46202.34826903935</v>
      </c>
      <c r="B364" s="21" t="s">
        <v>32</v>
      </c>
      <c r="C364" s="21" t="s">
        <v>116</v>
      </c>
      <c r="D364" s="21" t="s">
        <v>55</v>
      </c>
      <c r="E364" s="21">
        <v>10.0</v>
      </c>
      <c r="F364" s="21" t="s">
        <v>44</v>
      </c>
      <c r="Q364" s="21">
        <v>38.0</v>
      </c>
      <c r="V364" s="22">
        <f t="shared" si="2"/>
        <v>3800</v>
      </c>
      <c r="W364" s="21" t="s">
        <v>37</v>
      </c>
      <c r="X364" s="21" t="s">
        <v>94</v>
      </c>
      <c r="Y364" s="23">
        <v>46202.0</v>
      </c>
    </row>
    <row r="365" ht="22.5" customHeight="1">
      <c r="A365" s="20">
        <v>46202.35183707176</v>
      </c>
      <c r="B365" s="21" t="s">
        <v>32</v>
      </c>
      <c r="C365" s="21" t="s">
        <v>108</v>
      </c>
      <c r="D365" s="21" t="s">
        <v>55</v>
      </c>
      <c r="E365" s="21">
        <v>14.0</v>
      </c>
      <c r="F365" s="21" t="s">
        <v>31</v>
      </c>
      <c r="Q365" s="21">
        <v>237.0</v>
      </c>
      <c r="S365" s="21">
        <v>2.0</v>
      </c>
      <c r="V365" s="22">
        <f t="shared" si="2"/>
        <v>23750</v>
      </c>
      <c r="W365" s="21" t="s">
        <v>37</v>
      </c>
      <c r="X365" s="21" t="s">
        <v>83</v>
      </c>
      <c r="Y365" s="23">
        <v>46202.0</v>
      </c>
    </row>
    <row r="366" ht="22.5" customHeight="1">
      <c r="A366" s="20">
        <v>46202.35275359954</v>
      </c>
      <c r="B366" s="21" t="s">
        <v>32</v>
      </c>
      <c r="C366" s="21" t="s">
        <v>69</v>
      </c>
      <c r="D366" s="21" t="s">
        <v>53</v>
      </c>
      <c r="E366" s="21" t="s">
        <v>119</v>
      </c>
      <c r="F366" s="21" t="s">
        <v>31</v>
      </c>
      <c r="Q366" s="21">
        <v>17.0</v>
      </c>
      <c r="S366" s="21">
        <v>11.0</v>
      </c>
      <c r="V366" s="22">
        <f t="shared" si="2"/>
        <v>1975</v>
      </c>
      <c r="W366" s="21" t="s">
        <v>37</v>
      </c>
      <c r="X366" s="21" t="s">
        <v>120</v>
      </c>
      <c r="Y366" s="23">
        <v>46202.0</v>
      </c>
    </row>
    <row r="367" ht="22.5" customHeight="1">
      <c r="A367" s="20">
        <v>46202.35361546296</v>
      </c>
      <c r="B367" s="21" t="s">
        <v>32</v>
      </c>
      <c r="C367" s="21" t="s">
        <v>104</v>
      </c>
      <c r="D367" s="21" t="s">
        <v>55</v>
      </c>
      <c r="E367" s="21">
        <v>12.0</v>
      </c>
      <c r="F367" s="21" t="s">
        <v>38</v>
      </c>
      <c r="Q367" s="21">
        <v>1.0</v>
      </c>
      <c r="S367" s="21">
        <v>3.0</v>
      </c>
      <c r="V367" s="22">
        <f t="shared" si="2"/>
        <v>175</v>
      </c>
      <c r="W367" s="21" t="s">
        <v>37</v>
      </c>
      <c r="X367" s="21" t="s">
        <v>78</v>
      </c>
      <c r="Y367" s="23">
        <v>46202.0</v>
      </c>
    </row>
    <row r="368" ht="22.5" customHeight="1">
      <c r="A368" s="20">
        <v>46203.32486670139</v>
      </c>
      <c r="B368" s="21" t="s">
        <v>25</v>
      </c>
      <c r="C368" s="21" t="s">
        <v>96</v>
      </c>
      <c r="D368" s="21" t="s">
        <v>34</v>
      </c>
      <c r="E368" s="21" t="s">
        <v>92</v>
      </c>
      <c r="F368" s="21" t="s">
        <v>36</v>
      </c>
      <c r="Q368" s="21">
        <v>59.0</v>
      </c>
      <c r="S368" s="21">
        <v>3.0</v>
      </c>
      <c r="V368" s="22">
        <f t="shared" si="2"/>
        <v>5975</v>
      </c>
      <c r="W368" s="21" t="s">
        <v>37</v>
      </c>
      <c r="X368" s="21" t="s">
        <v>93</v>
      </c>
      <c r="Y368" s="23">
        <v>46203.0</v>
      </c>
    </row>
    <row r="369" ht="22.5" customHeight="1">
      <c r="A369" s="20">
        <v>46203.3258258912</v>
      </c>
      <c r="B369" s="21" t="s">
        <v>32</v>
      </c>
      <c r="C369" s="21" t="s">
        <v>118</v>
      </c>
      <c r="D369" s="21" t="s">
        <v>34</v>
      </c>
      <c r="E369" s="21" t="s">
        <v>92</v>
      </c>
      <c r="F369" s="21" t="s">
        <v>36</v>
      </c>
      <c r="Q369" s="21">
        <v>125.0</v>
      </c>
      <c r="V369" s="22">
        <f t="shared" si="2"/>
        <v>12500</v>
      </c>
      <c r="W369" s="21" t="s">
        <v>37</v>
      </c>
      <c r="X369" s="21" t="s">
        <v>93</v>
      </c>
      <c r="Y369" s="23">
        <v>46203.0</v>
      </c>
    </row>
    <row r="370" ht="22.5" customHeight="1">
      <c r="A370" s="20">
        <v>46203.32682278936</v>
      </c>
      <c r="B370" s="21" t="s">
        <v>32</v>
      </c>
      <c r="C370" s="21" t="s">
        <v>118</v>
      </c>
      <c r="D370" s="21" t="s">
        <v>34</v>
      </c>
      <c r="E370" s="21" t="s">
        <v>35</v>
      </c>
      <c r="F370" s="21" t="s">
        <v>36</v>
      </c>
      <c r="Q370" s="21">
        <v>76.0</v>
      </c>
      <c r="S370" s="21">
        <v>3.0</v>
      </c>
      <c r="V370" s="22">
        <f t="shared" si="2"/>
        <v>7675</v>
      </c>
      <c r="W370" s="21" t="s">
        <v>37</v>
      </c>
      <c r="X370" s="21" t="s">
        <v>109</v>
      </c>
      <c r="Y370" s="23">
        <v>46203.0</v>
      </c>
    </row>
    <row r="371" ht="22.5" customHeight="1">
      <c r="A371" s="20">
        <v>46203.32813112269</v>
      </c>
      <c r="B371" s="21" t="s">
        <v>32</v>
      </c>
      <c r="C371" s="21" t="s">
        <v>97</v>
      </c>
      <c r="D371" s="21" t="s">
        <v>34</v>
      </c>
      <c r="E371" s="21" t="s">
        <v>43</v>
      </c>
      <c r="F371" s="21" t="s">
        <v>36</v>
      </c>
      <c r="I371" s="21"/>
      <c r="K371" s="21">
        <v>7.0</v>
      </c>
      <c r="Q371" s="21">
        <v>2.0</v>
      </c>
      <c r="S371" s="21">
        <v>4.0</v>
      </c>
      <c r="V371" s="22">
        <f t="shared" si="2"/>
        <v>2050</v>
      </c>
      <c r="W371" s="21" t="s">
        <v>37</v>
      </c>
      <c r="X371" s="21" t="s">
        <v>105</v>
      </c>
      <c r="Y371" s="23">
        <v>46203.0</v>
      </c>
    </row>
    <row r="372" ht="22.5" customHeight="1">
      <c r="A372" s="20">
        <v>46203.32881359954</v>
      </c>
      <c r="B372" s="21" t="s">
        <v>32</v>
      </c>
      <c r="C372" s="21" t="s">
        <v>102</v>
      </c>
      <c r="D372" s="21" t="s">
        <v>34</v>
      </c>
      <c r="E372" s="21" t="s">
        <v>42</v>
      </c>
      <c r="F372" s="21" t="s">
        <v>36</v>
      </c>
      <c r="T372" s="21">
        <v>66.0</v>
      </c>
      <c r="V372" s="22">
        <f t="shared" si="2"/>
        <v>660</v>
      </c>
      <c r="W372" s="21" t="s">
        <v>37</v>
      </c>
      <c r="X372" s="21" t="s">
        <v>79</v>
      </c>
      <c r="Y372" s="23">
        <v>46203.0</v>
      </c>
    </row>
    <row r="373" ht="22.5" customHeight="1">
      <c r="A373" s="20">
        <v>46203.329521377316</v>
      </c>
      <c r="B373" s="21" t="s">
        <v>32</v>
      </c>
      <c r="C373" s="21" t="s">
        <v>67</v>
      </c>
      <c r="D373" s="21" t="s">
        <v>53</v>
      </c>
      <c r="E373" s="21" t="s">
        <v>119</v>
      </c>
      <c r="F373" s="21" t="s">
        <v>31</v>
      </c>
      <c r="Q373" s="21">
        <v>1.0</v>
      </c>
      <c r="V373" s="22">
        <f t="shared" si="2"/>
        <v>100</v>
      </c>
      <c r="W373" s="21" t="s">
        <v>37</v>
      </c>
      <c r="X373" s="21" t="s">
        <v>120</v>
      </c>
      <c r="Y373" s="23">
        <v>46203.0</v>
      </c>
    </row>
    <row r="374" ht="22.5" customHeight="1">
      <c r="A374" s="20">
        <v>46203.330502303244</v>
      </c>
      <c r="B374" s="21" t="s">
        <v>32</v>
      </c>
      <c r="C374" s="21" t="s">
        <v>118</v>
      </c>
      <c r="D374" s="21" t="s">
        <v>53</v>
      </c>
      <c r="E374" s="21" t="s">
        <v>63</v>
      </c>
      <c r="F374" s="21" t="s">
        <v>31</v>
      </c>
      <c r="S374" s="21">
        <v>17.0</v>
      </c>
      <c r="V374" s="22">
        <f t="shared" si="2"/>
        <v>425</v>
      </c>
      <c r="W374" s="21" t="s">
        <v>37</v>
      </c>
      <c r="X374" s="21" t="s">
        <v>89</v>
      </c>
      <c r="Y374" s="23">
        <v>46203.0</v>
      </c>
    </row>
    <row r="375" ht="22.5" customHeight="1">
      <c r="A375" s="20">
        <v>46203.33156673611</v>
      </c>
      <c r="B375" s="21" t="s">
        <v>32</v>
      </c>
      <c r="C375" s="21" t="s">
        <v>118</v>
      </c>
      <c r="D375" s="21" t="s">
        <v>55</v>
      </c>
      <c r="E375" s="21">
        <v>14.0</v>
      </c>
      <c r="F375" s="21" t="s">
        <v>28</v>
      </c>
      <c r="Q375" s="21">
        <v>126.0</v>
      </c>
      <c r="S375" s="21">
        <v>1.0</v>
      </c>
      <c r="V375" s="22">
        <f t="shared" si="2"/>
        <v>12625</v>
      </c>
      <c r="W375" s="21" t="s">
        <v>37</v>
      </c>
      <c r="X375" s="21" t="s">
        <v>83</v>
      </c>
      <c r="Y375" s="23">
        <v>46203.0</v>
      </c>
    </row>
    <row r="376" ht="22.5" customHeight="1">
      <c r="A376" s="20">
        <v>46203.33239679398</v>
      </c>
      <c r="B376" s="21" t="s">
        <v>25</v>
      </c>
      <c r="C376" s="21" t="s">
        <v>96</v>
      </c>
      <c r="D376" s="21" t="s">
        <v>55</v>
      </c>
      <c r="E376" s="21">
        <v>14.0</v>
      </c>
      <c r="F376" s="21" t="s">
        <v>28</v>
      </c>
      <c r="Q376" s="21">
        <v>90.0</v>
      </c>
      <c r="S376" s="21">
        <v>3.0</v>
      </c>
      <c r="V376" s="22">
        <f t="shared" si="2"/>
        <v>9075</v>
      </c>
      <c r="W376" s="21" t="s">
        <v>37</v>
      </c>
      <c r="X376" s="21" t="s">
        <v>83</v>
      </c>
      <c r="Y376" s="23">
        <v>46203.0</v>
      </c>
    </row>
    <row r="377" ht="22.5" customHeight="1">
      <c r="A377" s="20">
        <v>46203.33393552083</v>
      </c>
      <c r="B377" s="21" t="s">
        <v>25</v>
      </c>
      <c r="C377" s="21" t="s">
        <v>96</v>
      </c>
      <c r="D377" s="21" t="s">
        <v>49</v>
      </c>
      <c r="E377" s="21">
        <v>14.0</v>
      </c>
      <c r="F377" s="21" t="s">
        <v>28</v>
      </c>
      <c r="Q377" s="21">
        <v>113.0</v>
      </c>
      <c r="V377" s="22">
        <f t="shared" si="2"/>
        <v>11300</v>
      </c>
      <c r="W377" s="21" t="s">
        <v>29</v>
      </c>
      <c r="X377" s="21" t="s">
        <v>50</v>
      </c>
      <c r="Y377" s="23">
        <v>46203.0</v>
      </c>
    </row>
    <row r="378" ht="22.5" customHeight="1">
      <c r="A378" s="20">
        <v>46204.35117653935</v>
      </c>
      <c r="B378" s="21" t="s">
        <v>32</v>
      </c>
      <c r="C378" s="21" t="s">
        <v>81</v>
      </c>
      <c r="D378" s="21" t="s">
        <v>27</v>
      </c>
      <c r="E378" s="21">
        <v>12.0</v>
      </c>
      <c r="F378" s="21" t="s">
        <v>36</v>
      </c>
      <c r="I378" s="21">
        <v>30.0</v>
      </c>
      <c r="V378" s="22">
        <f t="shared" si="2"/>
        <v>15000</v>
      </c>
      <c r="W378" s="21" t="s">
        <v>29</v>
      </c>
      <c r="X378" s="21" t="s">
        <v>73</v>
      </c>
      <c r="Y378" s="23">
        <v>46204.0</v>
      </c>
    </row>
    <row r="379" ht="22.5" customHeight="1">
      <c r="A379" s="20">
        <v>46204.352518831016</v>
      </c>
      <c r="B379" s="21" t="s">
        <v>25</v>
      </c>
      <c r="C379" s="21" t="s">
        <v>96</v>
      </c>
      <c r="D379" s="21" t="s">
        <v>49</v>
      </c>
      <c r="E379" s="21">
        <v>14.0</v>
      </c>
      <c r="F379" s="21" t="s">
        <v>39</v>
      </c>
      <c r="Q379" s="21">
        <v>95.0</v>
      </c>
      <c r="V379" s="22">
        <f t="shared" si="2"/>
        <v>9500</v>
      </c>
      <c r="W379" s="21" t="s">
        <v>29</v>
      </c>
      <c r="X379" s="21" t="s">
        <v>50</v>
      </c>
      <c r="Y379" s="23">
        <v>46204.0</v>
      </c>
    </row>
    <row r="380" ht="22.5" customHeight="1">
      <c r="A380" s="20">
        <v>46204.35330253472</v>
      </c>
      <c r="B380" s="21" t="s">
        <v>25</v>
      </c>
      <c r="C380" s="21" t="s">
        <v>96</v>
      </c>
      <c r="D380" s="21" t="s">
        <v>49</v>
      </c>
      <c r="E380" s="21">
        <v>14.0</v>
      </c>
      <c r="F380" s="21" t="s">
        <v>38</v>
      </c>
      <c r="Q380" s="21">
        <v>99.0</v>
      </c>
      <c r="S380" s="21">
        <v>1.0</v>
      </c>
      <c r="V380" s="22">
        <f t="shared" si="2"/>
        <v>9925</v>
      </c>
      <c r="W380" s="21" t="s">
        <v>29</v>
      </c>
      <c r="X380" s="21" t="s">
        <v>50</v>
      </c>
      <c r="Y380" s="23">
        <v>46204.0</v>
      </c>
    </row>
    <row r="381" ht="22.5" customHeight="1">
      <c r="A381" s="20">
        <v>46204.35398809028</v>
      </c>
      <c r="B381" s="21" t="s">
        <v>32</v>
      </c>
      <c r="C381" s="21" t="s">
        <v>118</v>
      </c>
      <c r="D381" s="21" t="s">
        <v>49</v>
      </c>
      <c r="E381" s="21">
        <v>14.0</v>
      </c>
      <c r="F381" s="21" t="s">
        <v>36</v>
      </c>
      <c r="Q381" s="21">
        <v>107.0</v>
      </c>
      <c r="V381" s="22">
        <f t="shared" si="2"/>
        <v>10700</v>
      </c>
      <c r="W381" s="21" t="s">
        <v>29</v>
      </c>
      <c r="X381" s="21" t="s">
        <v>50</v>
      </c>
      <c r="Y381" s="23">
        <v>46204.0</v>
      </c>
    </row>
    <row r="382" ht="22.5" customHeight="1">
      <c r="A382" s="20">
        <v>46204.35460590278</v>
      </c>
      <c r="B382" s="21" t="s">
        <v>32</v>
      </c>
      <c r="C382" s="21" t="s">
        <v>118</v>
      </c>
      <c r="D382" s="21" t="s">
        <v>49</v>
      </c>
      <c r="E382" s="21">
        <v>14.0</v>
      </c>
      <c r="F382" s="21" t="s">
        <v>31</v>
      </c>
      <c r="Q382" s="21">
        <v>91.0</v>
      </c>
      <c r="V382" s="22">
        <f t="shared" si="2"/>
        <v>9100</v>
      </c>
      <c r="W382" s="21" t="s">
        <v>29</v>
      </c>
      <c r="X382" s="21" t="s">
        <v>50</v>
      </c>
      <c r="Y382" s="23">
        <v>46204.0</v>
      </c>
    </row>
    <row r="383" ht="22.5" customHeight="1">
      <c r="A383" s="20">
        <v>46204.3606477662</v>
      </c>
      <c r="B383" s="21" t="s">
        <v>25</v>
      </c>
      <c r="C383" s="21" t="s">
        <v>96</v>
      </c>
      <c r="D383" s="21" t="s">
        <v>55</v>
      </c>
      <c r="E383" s="21">
        <v>10.0</v>
      </c>
      <c r="F383" s="21" t="s">
        <v>44</v>
      </c>
      <c r="Q383" s="21">
        <v>16.0</v>
      </c>
      <c r="S383" s="21">
        <v>8.0</v>
      </c>
      <c r="V383" s="22">
        <f t="shared" si="2"/>
        <v>1800</v>
      </c>
      <c r="W383" s="21" t="s">
        <v>37</v>
      </c>
      <c r="X383" s="21" t="s">
        <v>94</v>
      </c>
      <c r="Y383" s="23">
        <v>46204.0</v>
      </c>
    </row>
    <row r="384" ht="22.5" customHeight="1">
      <c r="A384" s="20">
        <v>46204.361520983795</v>
      </c>
      <c r="B384" s="21" t="s">
        <v>32</v>
      </c>
      <c r="C384" s="21" t="s">
        <v>47</v>
      </c>
      <c r="D384" s="21" t="s">
        <v>55</v>
      </c>
      <c r="E384" s="21">
        <v>12.0</v>
      </c>
      <c r="F384" s="21" t="s">
        <v>36</v>
      </c>
      <c r="Q384" s="21">
        <v>5.0</v>
      </c>
      <c r="S384" s="21">
        <v>4.0</v>
      </c>
      <c r="V384" s="22">
        <f t="shared" si="2"/>
        <v>600</v>
      </c>
      <c r="W384" s="21" t="s">
        <v>37</v>
      </c>
      <c r="X384" s="21" t="s">
        <v>78</v>
      </c>
      <c r="Y384" s="23">
        <v>46204.0</v>
      </c>
    </row>
    <row r="385" ht="22.5" customHeight="1">
      <c r="A385" s="20">
        <v>46204.36297130787</v>
      </c>
      <c r="B385" s="21" t="s">
        <v>25</v>
      </c>
      <c r="C385" s="21" t="s">
        <v>96</v>
      </c>
      <c r="D385" s="21" t="s">
        <v>84</v>
      </c>
      <c r="E385" s="21">
        <v>16.0</v>
      </c>
      <c r="F385" s="21" t="s">
        <v>36</v>
      </c>
      <c r="Q385" s="21">
        <v>19.0</v>
      </c>
      <c r="S385" s="21">
        <v>1.0</v>
      </c>
      <c r="V385" s="22">
        <f t="shared" si="2"/>
        <v>1925</v>
      </c>
      <c r="W385" s="21" t="s">
        <v>37</v>
      </c>
      <c r="X385" s="21" t="s">
        <v>115</v>
      </c>
      <c r="Y385" s="23">
        <v>46204.0</v>
      </c>
    </row>
    <row r="386" ht="22.5" customHeight="1">
      <c r="A386" s="20">
        <v>46204.36364815972</v>
      </c>
      <c r="B386" s="21" t="s">
        <v>25</v>
      </c>
      <c r="C386" s="21" t="s">
        <v>96</v>
      </c>
      <c r="D386" s="21" t="s">
        <v>84</v>
      </c>
      <c r="E386" s="21">
        <v>16.0</v>
      </c>
      <c r="F386" s="21" t="s">
        <v>31</v>
      </c>
      <c r="Q386" s="21">
        <v>10.0</v>
      </c>
      <c r="V386" s="22">
        <f t="shared" si="2"/>
        <v>1000</v>
      </c>
      <c r="W386" s="21" t="s">
        <v>37</v>
      </c>
      <c r="X386" s="21" t="s">
        <v>115</v>
      </c>
      <c r="Y386" s="23">
        <v>46204.0</v>
      </c>
    </row>
    <row r="387" ht="22.5" customHeight="1">
      <c r="A387" s="20">
        <v>46204.36481047454</v>
      </c>
      <c r="B387" s="21" t="s">
        <v>25</v>
      </c>
      <c r="C387" s="21" t="s">
        <v>96</v>
      </c>
      <c r="D387" s="21" t="s">
        <v>55</v>
      </c>
      <c r="E387" s="21">
        <v>14.0</v>
      </c>
      <c r="F387" s="21" t="s">
        <v>31</v>
      </c>
      <c r="Q387" s="21">
        <v>13.0</v>
      </c>
      <c r="V387" s="22">
        <f t="shared" si="2"/>
        <v>1300</v>
      </c>
      <c r="W387" s="21" t="s">
        <v>37</v>
      </c>
      <c r="X387" s="21" t="s">
        <v>91</v>
      </c>
      <c r="Y387" s="23">
        <v>46204.0</v>
      </c>
    </row>
    <row r="388" ht="22.5" customHeight="1">
      <c r="A388" s="20">
        <v>46204.365686087964</v>
      </c>
      <c r="B388" s="21" t="s">
        <v>25</v>
      </c>
      <c r="C388" s="21" t="s">
        <v>96</v>
      </c>
      <c r="D388" s="21" t="s">
        <v>55</v>
      </c>
      <c r="E388" s="21">
        <v>14.0</v>
      </c>
      <c r="F388" s="21" t="s">
        <v>36</v>
      </c>
      <c r="Q388" s="21">
        <v>1.0</v>
      </c>
      <c r="S388" s="21">
        <v>6.0</v>
      </c>
      <c r="V388" s="22">
        <f t="shared" si="2"/>
        <v>250</v>
      </c>
      <c r="W388" s="21" t="s">
        <v>37</v>
      </c>
      <c r="X388" s="21" t="s">
        <v>91</v>
      </c>
      <c r="Y388" s="23">
        <v>46204.0</v>
      </c>
    </row>
    <row r="389" ht="22.5" customHeight="1">
      <c r="A389" s="20">
        <v>46204.36985408565</v>
      </c>
      <c r="B389" s="21" t="s">
        <v>32</v>
      </c>
      <c r="C389" s="21" t="s">
        <v>57</v>
      </c>
      <c r="D389" s="21" t="s">
        <v>55</v>
      </c>
      <c r="E389" s="21">
        <v>12.0</v>
      </c>
      <c r="F389" s="21" t="s">
        <v>31</v>
      </c>
      <c r="Q389" s="21">
        <v>26.0</v>
      </c>
      <c r="V389" s="22">
        <f t="shared" si="2"/>
        <v>2600</v>
      </c>
      <c r="W389" s="21" t="s">
        <v>37</v>
      </c>
      <c r="X389" s="21" t="s">
        <v>78</v>
      </c>
      <c r="Y389" s="23">
        <v>46204.0</v>
      </c>
    </row>
    <row r="390" ht="22.5" customHeight="1">
      <c r="A390" s="20">
        <v>46204.373501932874</v>
      </c>
      <c r="B390" s="21" t="s">
        <v>32</v>
      </c>
      <c r="C390" s="21" t="s">
        <v>57</v>
      </c>
      <c r="D390" s="21" t="s">
        <v>27</v>
      </c>
      <c r="E390" s="21">
        <v>12.0</v>
      </c>
      <c r="F390" s="21" t="s">
        <v>36</v>
      </c>
      <c r="Q390" s="21">
        <v>7.0</v>
      </c>
      <c r="S390" s="21">
        <v>17.0</v>
      </c>
      <c r="V390" s="22">
        <f t="shared" si="2"/>
        <v>1125</v>
      </c>
      <c r="W390" s="21" t="s">
        <v>29</v>
      </c>
      <c r="X390" s="21" t="s">
        <v>73</v>
      </c>
      <c r="Y390" s="23">
        <v>46204.0</v>
      </c>
    </row>
    <row r="391" ht="22.5" customHeight="1">
      <c r="A391" s="20">
        <v>46204.37520328704</v>
      </c>
      <c r="B391" s="21" t="s">
        <v>25</v>
      </c>
      <c r="C391" s="21" t="s">
        <v>81</v>
      </c>
      <c r="D391" s="21" t="s">
        <v>55</v>
      </c>
      <c r="E391" s="21">
        <v>14.0</v>
      </c>
      <c r="F391" s="21" t="s">
        <v>28</v>
      </c>
      <c r="I391" s="21">
        <v>3.0</v>
      </c>
      <c r="Q391" s="21">
        <v>4.0</v>
      </c>
      <c r="S391" s="21">
        <v>10.0</v>
      </c>
      <c r="V391" s="22">
        <f t="shared" si="2"/>
        <v>2150</v>
      </c>
      <c r="W391" s="21" t="s">
        <v>37</v>
      </c>
      <c r="X391" s="21" t="s">
        <v>83</v>
      </c>
      <c r="Y391" s="23">
        <v>46204.0</v>
      </c>
    </row>
    <row r="392" ht="22.5" customHeight="1">
      <c r="A392" s="20">
        <v>46204.37599836805</v>
      </c>
      <c r="B392" s="21" t="s">
        <v>25</v>
      </c>
      <c r="C392" s="21" t="s">
        <v>81</v>
      </c>
      <c r="D392" s="21" t="s">
        <v>55</v>
      </c>
      <c r="E392" s="21">
        <v>14.0</v>
      </c>
      <c r="F392" s="21" t="s">
        <v>31</v>
      </c>
      <c r="I392" s="21">
        <v>4.0</v>
      </c>
      <c r="Q392" s="21">
        <v>7.0</v>
      </c>
      <c r="S392" s="21">
        <v>3.0</v>
      </c>
      <c r="V392" s="22">
        <f t="shared" si="2"/>
        <v>2775</v>
      </c>
      <c r="W392" s="21" t="s">
        <v>37</v>
      </c>
      <c r="X392" s="21" t="s">
        <v>83</v>
      </c>
      <c r="Y392" s="23">
        <v>46204.0</v>
      </c>
    </row>
    <row r="393" ht="22.5" customHeight="1">
      <c r="A393" s="20">
        <v>46204.378836979165</v>
      </c>
      <c r="B393" s="21" t="s">
        <v>32</v>
      </c>
      <c r="C393" s="21" t="s">
        <v>102</v>
      </c>
      <c r="D393" s="21" t="s">
        <v>55</v>
      </c>
      <c r="E393" s="21">
        <v>14.0</v>
      </c>
      <c r="F393" s="21" t="s">
        <v>36</v>
      </c>
      <c r="Q393" s="21">
        <v>1.0</v>
      </c>
      <c r="V393" s="22">
        <f t="shared" si="2"/>
        <v>100</v>
      </c>
      <c r="W393" s="21" t="s">
        <v>37</v>
      </c>
      <c r="X393" s="21" t="s">
        <v>83</v>
      </c>
      <c r="Y393" s="23">
        <v>46204.0</v>
      </c>
    </row>
    <row r="394" ht="22.5" customHeight="1">
      <c r="A394" s="20">
        <v>46204.380006782405</v>
      </c>
      <c r="B394" s="21" t="s">
        <v>25</v>
      </c>
      <c r="C394" s="21" t="s">
        <v>96</v>
      </c>
      <c r="D394" s="21" t="s">
        <v>55</v>
      </c>
      <c r="E394" s="21">
        <v>8.0</v>
      </c>
      <c r="F394" s="21" t="s">
        <v>38</v>
      </c>
      <c r="Q394" s="21">
        <v>8.0</v>
      </c>
      <c r="S394" s="21">
        <v>4.0</v>
      </c>
      <c r="V394" s="22">
        <f t="shared" si="2"/>
        <v>900</v>
      </c>
      <c r="W394" s="21" t="s">
        <v>37</v>
      </c>
      <c r="X394" s="21" t="s">
        <v>114</v>
      </c>
      <c r="Y394" s="23">
        <v>46204.0</v>
      </c>
    </row>
    <row r="395" ht="22.5" customHeight="1">
      <c r="A395" s="20">
        <v>46204.38135506945</v>
      </c>
      <c r="B395" s="21" t="s">
        <v>32</v>
      </c>
      <c r="C395" s="21" t="s">
        <v>122</v>
      </c>
      <c r="D395" s="21" t="s">
        <v>34</v>
      </c>
      <c r="E395" s="21" t="s">
        <v>43</v>
      </c>
      <c r="F395" s="21" t="s">
        <v>36</v>
      </c>
      <c r="Q395" s="21">
        <v>9.0</v>
      </c>
      <c r="S395" s="21">
        <v>2.0</v>
      </c>
      <c r="V395" s="22">
        <f t="shared" si="2"/>
        <v>950</v>
      </c>
      <c r="W395" s="21" t="s">
        <v>37</v>
      </c>
      <c r="X395" s="21" t="s">
        <v>105</v>
      </c>
      <c r="Y395" s="23">
        <v>46204.0</v>
      </c>
    </row>
    <row r="396" ht="22.5" customHeight="1">
      <c r="A396" s="20">
        <v>46204.38189834491</v>
      </c>
      <c r="B396" s="21" t="s">
        <v>32</v>
      </c>
      <c r="C396" s="21" t="s">
        <v>122</v>
      </c>
      <c r="D396" s="21" t="s">
        <v>34</v>
      </c>
      <c r="E396" s="21" t="s">
        <v>92</v>
      </c>
      <c r="F396" s="21" t="s">
        <v>36</v>
      </c>
      <c r="S396" s="21">
        <v>6.0</v>
      </c>
      <c r="V396" s="22">
        <f t="shared" si="2"/>
        <v>150</v>
      </c>
      <c r="W396" s="21" t="s">
        <v>37</v>
      </c>
      <c r="X396" s="21" t="s">
        <v>93</v>
      </c>
      <c r="Y396" s="23">
        <v>46204.0</v>
      </c>
    </row>
    <row r="397" ht="22.5" customHeight="1">
      <c r="A397" s="20">
        <v>46204.382418611116</v>
      </c>
      <c r="B397" s="21" t="s">
        <v>32</v>
      </c>
      <c r="C397" s="21" t="s">
        <v>122</v>
      </c>
      <c r="D397" s="21" t="s">
        <v>34</v>
      </c>
      <c r="E397" s="21" t="s">
        <v>35</v>
      </c>
      <c r="F397" s="21" t="s">
        <v>36</v>
      </c>
      <c r="S397" s="21">
        <v>16.0</v>
      </c>
      <c r="V397" s="22">
        <f t="shared" si="2"/>
        <v>400</v>
      </c>
      <c r="W397" s="21" t="s">
        <v>37</v>
      </c>
      <c r="X397" s="21" t="s">
        <v>109</v>
      </c>
      <c r="Y397" s="23">
        <v>46204.0</v>
      </c>
    </row>
    <row r="398" ht="22.5" customHeight="1">
      <c r="A398" s="20">
        <v>46204.3869022338</v>
      </c>
      <c r="B398" s="21" t="s">
        <v>25</v>
      </c>
      <c r="C398" s="21" t="s">
        <v>81</v>
      </c>
      <c r="D398" s="21" t="s">
        <v>49</v>
      </c>
      <c r="E398" s="21">
        <v>14.0</v>
      </c>
      <c r="F398" s="21" t="s">
        <v>31</v>
      </c>
      <c r="I398" s="21">
        <v>5.0</v>
      </c>
      <c r="V398" s="22">
        <f t="shared" si="2"/>
        <v>2500</v>
      </c>
      <c r="W398" s="21" t="s">
        <v>29</v>
      </c>
      <c r="X398" s="21" t="s">
        <v>50</v>
      </c>
      <c r="Y398" s="23">
        <v>46204.0</v>
      </c>
    </row>
    <row r="399" ht="22.5" customHeight="1">
      <c r="A399" s="20">
        <v>46204.38734282408</v>
      </c>
      <c r="B399" s="21" t="s">
        <v>32</v>
      </c>
      <c r="C399" s="21" t="s">
        <v>81</v>
      </c>
      <c r="D399" s="21" t="s">
        <v>49</v>
      </c>
      <c r="E399" s="21">
        <v>14.0</v>
      </c>
      <c r="F399" s="21" t="s">
        <v>28</v>
      </c>
      <c r="I399" s="21">
        <v>5.0</v>
      </c>
      <c r="V399" s="22">
        <f t="shared" si="2"/>
        <v>2500</v>
      </c>
      <c r="W399" s="21" t="s">
        <v>37</v>
      </c>
      <c r="X399" s="21" t="s">
        <v>50</v>
      </c>
      <c r="Y399" s="23">
        <v>46204.0</v>
      </c>
    </row>
    <row r="400" ht="22.5" customHeight="1">
      <c r="A400" s="20">
        <v>46205.33885428241</v>
      </c>
      <c r="B400" s="21" t="s">
        <v>32</v>
      </c>
      <c r="C400" s="21" t="s">
        <v>118</v>
      </c>
      <c r="D400" s="21" t="s">
        <v>84</v>
      </c>
      <c r="E400" s="21">
        <v>18.0</v>
      </c>
      <c r="F400" s="21" t="s">
        <v>36</v>
      </c>
      <c r="Q400" s="21">
        <v>182.0</v>
      </c>
      <c r="V400" s="22">
        <f t="shared" si="2"/>
        <v>18200</v>
      </c>
      <c r="W400" s="21" t="s">
        <v>37</v>
      </c>
      <c r="X400" s="21" t="s">
        <v>30</v>
      </c>
      <c r="Y400" s="23">
        <v>46205.0</v>
      </c>
    </row>
    <row r="401" ht="22.5" customHeight="1">
      <c r="A401" s="20">
        <v>46205.33991928241</v>
      </c>
      <c r="B401" s="21" t="s">
        <v>25</v>
      </c>
      <c r="C401" s="21" t="s">
        <v>96</v>
      </c>
      <c r="D401" s="21" t="s">
        <v>84</v>
      </c>
      <c r="E401" s="21">
        <v>18.0</v>
      </c>
      <c r="F401" s="21" t="s">
        <v>39</v>
      </c>
      <c r="Q401" s="21">
        <v>155.0</v>
      </c>
      <c r="V401" s="22">
        <f t="shared" si="2"/>
        <v>15500</v>
      </c>
      <c r="W401" s="21" t="s">
        <v>37</v>
      </c>
      <c r="X401" s="21" t="s">
        <v>30</v>
      </c>
      <c r="Y401" s="23">
        <v>46205.0</v>
      </c>
    </row>
    <row r="402" ht="22.5" customHeight="1">
      <c r="A402" s="20">
        <v>46205.34067744213</v>
      </c>
      <c r="B402" s="21" t="s">
        <v>25</v>
      </c>
      <c r="C402" s="21" t="s">
        <v>96</v>
      </c>
      <c r="D402" s="21" t="s">
        <v>84</v>
      </c>
      <c r="E402" s="21">
        <v>18.0</v>
      </c>
      <c r="F402" s="21" t="s">
        <v>38</v>
      </c>
      <c r="Q402" s="21">
        <v>117.0</v>
      </c>
      <c r="V402" s="22">
        <f t="shared" si="2"/>
        <v>11700</v>
      </c>
      <c r="W402" s="21" t="s">
        <v>37</v>
      </c>
      <c r="X402" s="21" t="s">
        <v>30</v>
      </c>
      <c r="Y402" s="23">
        <v>46205.0</v>
      </c>
    </row>
    <row r="403" ht="22.5" customHeight="1">
      <c r="A403" s="20">
        <v>46205.34154758102</v>
      </c>
      <c r="B403" s="21" t="s">
        <v>25</v>
      </c>
      <c r="C403" s="21" t="s">
        <v>96</v>
      </c>
      <c r="D403" s="21" t="s">
        <v>34</v>
      </c>
      <c r="E403" s="21" t="s">
        <v>51</v>
      </c>
      <c r="F403" s="21" t="s">
        <v>36</v>
      </c>
      <c r="Q403" s="21">
        <v>129.0</v>
      </c>
      <c r="V403" s="22">
        <f t="shared" si="2"/>
        <v>12900</v>
      </c>
      <c r="W403" s="21" t="s">
        <v>37</v>
      </c>
      <c r="X403" s="21" t="s">
        <v>30</v>
      </c>
      <c r="Y403" s="23">
        <v>46205.0</v>
      </c>
    </row>
    <row r="404" ht="22.5" customHeight="1">
      <c r="A404" s="20">
        <v>46205.34254854167</v>
      </c>
      <c r="B404" s="21" t="s">
        <v>32</v>
      </c>
      <c r="C404" s="21" t="s">
        <v>118</v>
      </c>
      <c r="D404" s="21" t="s">
        <v>34</v>
      </c>
      <c r="E404" s="21" t="s">
        <v>51</v>
      </c>
      <c r="F404" s="21" t="s">
        <v>36</v>
      </c>
      <c r="Q404" s="21">
        <v>112.0</v>
      </c>
      <c r="S404" s="21">
        <v>1.0</v>
      </c>
      <c r="V404" s="22">
        <f t="shared" si="2"/>
        <v>11225</v>
      </c>
      <c r="W404" s="21" t="s">
        <v>37</v>
      </c>
      <c r="X404" s="21" t="s">
        <v>30</v>
      </c>
      <c r="Y404" s="23">
        <v>46205.0</v>
      </c>
    </row>
    <row r="405" ht="22.5" customHeight="1">
      <c r="A405" s="20">
        <v>46205.34494513889</v>
      </c>
      <c r="B405" s="21" t="s">
        <v>32</v>
      </c>
      <c r="C405" s="21" t="s">
        <v>121</v>
      </c>
      <c r="D405" s="21" t="s">
        <v>49</v>
      </c>
      <c r="E405" s="21">
        <v>14.0</v>
      </c>
      <c r="F405" s="21" t="s">
        <v>44</v>
      </c>
      <c r="Q405" s="21">
        <v>67.0</v>
      </c>
      <c r="S405" s="21">
        <v>9.0</v>
      </c>
      <c r="V405" s="22">
        <f t="shared" si="2"/>
        <v>6925</v>
      </c>
      <c r="W405" s="21" t="s">
        <v>37</v>
      </c>
      <c r="X405" s="21" t="s">
        <v>50</v>
      </c>
      <c r="Y405" s="23">
        <v>46205.0</v>
      </c>
    </row>
    <row r="406" ht="22.5" customHeight="1">
      <c r="A406" s="20">
        <v>46205.346179872686</v>
      </c>
      <c r="B406" s="21" t="s">
        <v>32</v>
      </c>
      <c r="C406" s="21" t="s">
        <v>121</v>
      </c>
      <c r="D406" s="21" t="s">
        <v>49</v>
      </c>
      <c r="E406" s="21">
        <v>14.0</v>
      </c>
      <c r="F406" s="21" t="s">
        <v>39</v>
      </c>
      <c r="Q406" s="21">
        <v>17.0</v>
      </c>
      <c r="S406" s="21">
        <v>8.0</v>
      </c>
      <c r="V406" s="22">
        <f t="shared" si="2"/>
        <v>1900</v>
      </c>
      <c r="W406" s="21" t="s">
        <v>37</v>
      </c>
      <c r="X406" s="21" t="s">
        <v>50</v>
      </c>
      <c r="Y406" s="23">
        <v>46205.0</v>
      </c>
    </row>
    <row r="407" ht="22.5" customHeight="1">
      <c r="A407" s="20">
        <v>46205.347045925926</v>
      </c>
      <c r="B407" s="21" t="s">
        <v>32</v>
      </c>
      <c r="C407" s="21" t="s">
        <v>123</v>
      </c>
      <c r="D407" s="21" t="s">
        <v>60</v>
      </c>
      <c r="E407" s="21" t="s">
        <v>46</v>
      </c>
      <c r="F407" s="21" t="s">
        <v>31</v>
      </c>
      <c r="R407" s="21">
        <v>60.0</v>
      </c>
      <c r="V407" s="22">
        <f t="shared" si="2"/>
        <v>3000</v>
      </c>
      <c r="W407" s="21" t="s">
        <v>29</v>
      </c>
      <c r="X407" s="21" t="s">
        <v>30</v>
      </c>
      <c r="Y407" s="23">
        <v>46205.0</v>
      </c>
    </row>
    <row r="408" ht="22.5" customHeight="1">
      <c r="A408" s="20">
        <v>46205.34911575231</v>
      </c>
      <c r="B408" s="21" t="s">
        <v>32</v>
      </c>
      <c r="C408" s="21" t="s">
        <v>121</v>
      </c>
      <c r="D408" s="21" t="s">
        <v>49</v>
      </c>
      <c r="E408" s="21">
        <v>14.0</v>
      </c>
      <c r="F408" s="21" t="s">
        <v>31</v>
      </c>
      <c r="Q408" s="21">
        <v>5.0</v>
      </c>
      <c r="S408" s="21">
        <v>3.0</v>
      </c>
      <c r="V408" s="22">
        <f t="shared" si="2"/>
        <v>575</v>
      </c>
      <c r="W408" s="21" t="s">
        <v>29</v>
      </c>
      <c r="X408" s="21" t="s">
        <v>50</v>
      </c>
      <c r="Y408" s="23">
        <v>46205.0</v>
      </c>
    </row>
    <row r="409" ht="22.5" customHeight="1">
      <c r="A409" s="20">
        <v>46205.34985118055</v>
      </c>
      <c r="B409" s="21" t="s">
        <v>32</v>
      </c>
      <c r="C409" s="21" t="s">
        <v>121</v>
      </c>
      <c r="D409" s="21" t="s">
        <v>49</v>
      </c>
      <c r="E409" s="21">
        <v>14.0</v>
      </c>
      <c r="F409" s="21" t="s">
        <v>36</v>
      </c>
      <c r="Q409" s="21">
        <v>4.0</v>
      </c>
      <c r="S409" s="21">
        <v>10.0</v>
      </c>
      <c r="V409" s="22">
        <f t="shared" si="2"/>
        <v>650</v>
      </c>
      <c r="W409" s="21" t="s">
        <v>29</v>
      </c>
      <c r="X409" s="21" t="s">
        <v>50</v>
      </c>
      <c r="Y409" s="23">
        <v>46205.0</v>
      </c>
    </row>
    <row r="410" ht="22.5" customHeight="1">
      <c r="A410" s="20">
        <v>46205.35037697917</v>
      </c>
      <c r="B410" s="21" t="s">
        <v>32</v>
      </c>
      <c r="C410" s="21" t="s">
        <v>121</v>
      </c>
      <c r="D410" s="21" t="s">
        <v>49</v>
      </c>
      <c r="E410" s="21">
        <v>14.0</v>
      </c>
      <c r="F410" s="21" t="s">
        <v>38</v>
      </c>
      <c r="Q410" s="21">
        <v>3.0</v>
      </c>
      <c r="S410" s="21">
        <v>1.0</v>
      </c>
      <c r="V410" s="22">
        <f t="shared" si="2"/>
        <v>325</v>
      </c>
      <c r="W410" s="21" t="s">
        <v>29</v>
      </c>
      <c r="X410" s="21" t="s">
        <v>50</v>
      </c>
      <c r="Y410" s="23">
        <v>46205.0</v>
      </c>
    </row>
    <row r="411" ht="22.5" customHeight="1">
      <c r="A411" s="20">
        <v>46205.35084831019</v>
      </c>
      <c r="B411" s="21" t="s">
        <v>32</v>
      </c>
      <c r="C411" s="21" t="s">
        <v>121</v>
      </c>
      <c r="D411" s="21" t="s">
        <v>49</v>
      </c>
      <c r="E411" s="21">
        <v>14.0</v>
      </c>
      <c r="F411" s="21" t="s">
        <v>28</v>
      </c>
      <c r="I411" s="21">
        <v>1.0</v>
      </c>
      <c r="S411" s="21">
        <v>4.0</v>
      </c>
      <c r="V411" s="22">
        <f t="shared" si="2"/>
        <v>600</v>
      </c>
      <c r="W411" s="21" t="s">
        <v>29</v>
      </c>
      <c r="X411" s="21" t="s">
        <v>50</v>
      </c>
      <c r="Y411" s="23">
        <v>46205.0</v>
      </c>
    </row>
    <row r="412" ht="22.5" customHeight="1">
      <c r="A412" s="20">
        <v>46205.35240700231</v>
      </c>
      <c r="B412" s="21" t="s">
        <v>32</v>
      </c>
      <c r="C412" s="21" t="s">
        <v>121</v>
      </c>
      <c r="D412" s="21" t="s">
        <v>27</v>
      </c>
      <c r="E412" s="21">
        <v>12.0</v>
      </c>
      <c r="F412" s="21" t="s">
        <v>38</v>
      </c>
      <c r="Q412" s="21">
        <v>3.0</v>
      </c>
      <c r="S412" s="21">
        <v>3.0</v>
      </c>
      <c r="V412" s="22">
        <f t="shared" si="2"/>
        <v>375</v>
      </c>
      <c r="W412" s="21" t="s">
        <v>29</v>
      </c>
      <c r="X412" s="21" t="s">
        <v>73</v>
      </c>
      <c r="Y412" s="23">
        <v>46205.0</v>
      </c>
    </row>
    <row r="413" ht="22.5" customHeight="1">
      <c r="A413" s="20">
        <v>46205.35411684027</v>
      </c>
      <c r="B413" s="21" t="s">
        <v>32</v>
      </c>
      <c r="C413" s="21" t="s">
        <v>45</v>
      </c>
      <c r="D413" s="21" t="s">
        <v>27</v>
      </c>
      <c r="E413" s="21">
        <v>12.0</v>
      </c>
      <c r="F413" s="21" t="s">
        <v>44</v>
      </c>
      <c r="I413" s="21">
        <v>12.0</v>
      </c>
      <c r="V413" s="22">
        <f t="shared" si="2"/>
        <v>6000</v>
      </c>
      <c r="W413" s="21" t="s">
        <v>29</v>
      </c>
      <c r="X413" s="21" t="s">
        <v>30</v>
      </c>
      <c r="Y413" s="23">
        <v>46205.0</v>
      </c>
    </row>
    <row r="414" ht="22.5" customHeight="1">
      <c r="A414" s="20">
        <v>46205.35472403935</v>
      </c>
      <c r="B414" s="21" t="s">
        <v>32</v>
      </c>
      <c r="C414" s="21" t="s">
        <v>45</v>
      </c>
      <c r="D414" s="21" t="s">
        <v>49</v>
      </c>
      <c r="E414" s="21">
        <v>14.0</v>
      </c>
      <c r="F414" s="21" t="s">
        <v>38</v>
      </c>
      <c r="I414" s="21">
        <v>3.0</v>
      </c>
      <c r="V414" s="22">
        <f t="shared" si="2"/>
        <v>1500</v>
      </c>
      <c r="W414" s="21" t="s">
        <v>29</v>
      </c>
      <c r="X414" s="21" t="s">
        <v>50</v>
      </c>
      <c r="Y414" s="23">
        <v>46205.0</v>
      </c>
    </row>
    <row r="415" ht="22.5" customHeight="1">
      <c r="A415" s="20">
        <v>46205.355086006944</v>
      </c>
      <c r="B415" s="21" t="s">
        <v>32</v>
      </c>
      <c r="C415" s="21" t="s">
        <v>45</v>
      </c>
      <c r="D415" s="21" t="s">
        <v>49</v>
      </c>
      <c r="E415" s="21">
        <v>14.0</v>
      </c>
      <c r="F415" s="21" t="s">
        <v>36</v>
      </c>
      <c r="I415" s="21">
        <v>6.0</v>
      </c>
      <c r="V415" s="22">
        <f t="shared" si="2"/>
        <v>3000</v>
      </c>
      <c r="W415" s="21" t="s">
        <v>29</v>
      </c>
      <c r="X415" s="21" t="s">
        <v>50</v>
      </c>
      <c r="Y415" s="23">
        <v>46205.0</v>
      </c>
    </row>
    <row r="416" ht="22.5" customHeight="1">
      <c r="A416" s="20">
        <v>46205.35574112269</v>
      </c>
      <c r="B416" s="21" t="s">
        <v>32</v>
      </c>
      <c r="C416" s="21" t="s">
        <v>45</v>
      </c>
      <c r="D416" s="21" t="s">
        <v>49</v>
      </c>
      <c r="E416" s="21">
        <v>14.0</v>
      </c>
      <c r="F416" s="21" t="s">
        <v>44</v>
      </c>
      <c r="I416" s="21">
        <v>5.0</v>
      </c>
      <c r="V416" s="22">
        <f t="shared" si="2"/>
        <v>2500</v>
      </c>
      <c r="W416" s="21" t="s">
        <v>29</v>
      </c>
      <c r="X416" s="21" t="s">
        <v>50</v>
      </c>
      <c r="Y416" s="23">
        <v>46205.0</v>
      </c>
    </row>
    <row r="417" ht="22.5" customHeight="1">
      <c r="A417" s="20">
        <v>46205.356154918976</v>
      </c>
      <c r="B417" s="21" t="s">
        <v>32</v>
      </c>
      <c r="C417" s="21" t="s">
        <v>45</v>
      </c>
      <c r="D417" s="21" t="s">
        <v>49</v>
      </c>
      <c r="E417" s="21">
        <v>14.0</v>
      </c>
      <c r="F417" s="21" t="s">
        <v>39</v>
      </c>
      <c r="I417" s="21">
        <v>6.0</v>
      </c>
      <c r="V417" s="22">
        <f t="shared" si="2"/>
        <v>3000</v>
      </c>
      <c r="W417" s="21" t="s">
        <v>29</v>
      </c>
      <c r="X417" s="21" t="s">
        <v>50</v>
      </c>
      <c r="Y417" s="23">
        <v>46205.0</v>
      </c>
    </row>
    <row r="418" ht="22.5" customHeight="1">
      <c r="A418" s="20">
        <v>46205.35726495371</v>
      </c>
      <c r="B418" s="21" t="s">
        <v>32</v>
      </c>
      <c r="C418" s="21" t="s">
        <v>67</v>
      </c>
      <c r="D418" s="21" t="s">
        <v>55</v>
      </c>
      <c r="E418" s="21">
        <v>12.0</v>
      </c>
      <c r="F418" s="21" t="s">
        <v>38</v>
      </c>
      <c r="Q418" s="21">
        <v>5.0</v>
      </c>
      <c r="V418" s="22">
        <f t="shared" si="2"/>
        <v>500</v>
      </c>
      <c r="W418" s="21" t="s">
        <v>37</v>
      </c>
      <c r="X418" s="21" t="s">
        <v>78</v>
      </c>
      <c r="Y418" s="23">
        <v>46205.0</v>
      </c>
    </row>
    <row r="419" ht="22.5" customHeight="1">
      <c r="A419" s="20"/>
      <c r="B419" s="25" t="s">
        <v>32</v>
      </c>
      <c r="C419" s="25" t="s">
        <v>124</v>
      </c>
      <c r="D419" s="25" t="s">
        <v>53</v>
      </c>
      <c r="E419" s="26">
        <v>22.0</v>
      </c>
      <c r="F419" s="25" t="s">
        <v>36</v>
      </c>
      <c r="Q419" s="27">
        <v>0.0</v>
      </c>
      <c r="R419" s="18"/>
      <c r="S419" s="18"/>
      <c r="V419" s="22">
        <f t="shared" si="2"/>
        <v>0</v>
      </c>
      <c r="W419" s="21" t="s">
        <v>37</v>
      </c>
      <c r="X419" s="28" t="s">
        <v>74</v>
      </c>
      <c r="Y419" s="23"/>
    </row>
    <row r="420" ht="22.5" customHeight="1">
      <c r="A420" s="20"/>
      <c r="B420" s="29" t="s">
        <v>32</v>
      </c>
      <c r="C420" s="29" t="s">
        <v>125</v>
      </c>
      <c r="D420" s="29" t="s">
        <v>84</v>
      </c>
      <c r="E420" s="30">
        <v>18.0</v>
      </c>
      <c r="F420" s="29" t="s">
        <v>31</v>
      </c>
      <c r="Q420" s="31"/>
      <c r="R420" s="12"/>
      <c r="S420" s="10"/>
      <c r="V420" s="22">
        <f t="shared" si="2"/>
        <v>0</v>
      </c>
      <c r="W420" s="21" t="s">
        <v>37</v>
      </c>
      <c r="X420" s="28"/>
      <c r="Y420" s="23"/>
    </row>
    <row r="421" ht="22.5" customHeight="1">
      <c r="A421" s="20"/>
      <c r="B421" s="25" t="s">
        <v>32</v>
      </c>
      <c r="C421" s="25" t="s">
        <v>121</v>
      </c>
      <c r="D421" s="25" t="s">
        <v>55</v>
      </c>
      <c r="E421" s="26">
        <v>12.0</v>
      </c>
      <c r="F421" s="25" t="s">
        <v>36</v>
      </c>
      <c r="Q421" s="32">
        <v>4.0</v>
      </c>
      <c r="R421" s="18"/>
      <c r="S421" s="27">
        <v>24.0</v>
      </c>
      <c r="V421" s="22">
        <f t="shared" si="2"/>
        <v>1000</v>
      </c>
      <c r="W421" s="21" t="s">
        <v>37</v>
      </c>
      <c r="X421" s="33" t="s">
        <v>78</v>
      </c>
      <c r="Y421" s="23"/>
    </row>
    <row r="422" ht="22.5" customHeight="1">
      <c r="A422" s="20"/>
      <c r="B422" s="29" t="s">
        <v>32</v>
      </c>
      <c r="C422" s="29" t="s">
        <v>121</v>
      </c>
      <c r="D422" s="29" t="s">
        <v>55</v>
      </c>
      <c r="E422" s="30">
        <v>10.0</v>
      </c>
      <c r="F422" s="29" t="s">
        <v>44</v>
      </c>
      <c r="Q422" s="26"/>
      <c r="R422" s="12"/>
      <c r="S422" s="31">
        <v>3.0</v>
      </c>
      <c r="V422" s="22">
        <f t="shared" si="2"/>
        <v>75</v>
      </c>
      <c r="W422" s="21" t="s">
        <v>37</v>
      </c>
      <c r="X422" s="21" t="s">
        <v>94</v>
      </c>
      <c r="Y422" s="23"/>
    </row>
    <row r="423" ht="22.5" customHeight="1">
      <c r="A423" s="20"/>
      <c r="B423" s="25" t="s">
        <v>32</v>
      </c>
      <c r="C423" s="25" t="s">
        <v>122</v>
      </c>
      <c r="D423" s="25" t="s">
        <v>27</v>
      </c>
      <c r="E423" s="26">
        <v>12.0</v>
      </c>
      <c r="F423" s="25" t="s">
        <v>44</v>
      </c>
      <c r="Q423" s="21">
        <v>121.0</v>
      </c>
      <c r="V423" s="22">
        <f t="shared" si="2"/>
        <v>12100</v>
      </c>
      <c r="W423" s="21"/>
      <c r="X423" s="34" t="s">
        <v>73</v>
      </c>
      <c r="Y423" s="23"/>
    </row>
    <row r="425">
      <c r="W425" s="35">
        <v>1228.0</v>
      </c>
    </row>
    <row r="426">
      <c r="W426" s="35">
        <v>964.0</v>
      </c>
    </row>
    <row r="427">
      <c r="W427" s="36">
        <f>W425-W426</f>
        <v>264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9.75"/>
    <col customWidth="1" min="3" max="3" width="11.5"/>
    <col customWidth="1" min="4" max="4" width="26.13"/>
    <col customWidth="1" min="5" max="5" width="11.13"/>
    <col customWidth="1" min="6" max="6" width="10.38"/>
    <col customWidth="1" min="7" max="7" width="20.13"/>
    <col customWidth="1" min="8" max="27" width="9.38"/>
  </cols>
  <sheetData>
    <row r="1" ht="15.0" customHeight="1">
      <c r="A1" s="37"/>
      <c r="B1" s="38"/>
      <c r="C1" s="39"/>
      <c r="D1" s="40" t="s">
        <v>126</v>
      </c>
      <c r="E1" s="39"/>
      <c r="F1" s="41" t="s">
        <v>127</v>
      </c>
      <c r="G1" s="42" t="s">
        <v>128</v>
      </c>
      <c r="J1" s="43"/>
      <c r="K1" s="43"/>
      <c r="N1" s="43"/>
      <c r="O1" s="43"/>
      <c r="R1" s="43"/>
      <c r="S1" s="43"/>
      <c r="V1" s="43"/>
      <c r="W1" s="43"/>
      <c r="Z1" s="43"/>
      <c r="AA1" s="43"/>
    </row>
    <row r="2" ht="15.0" customHeight="1">
      <c r="A2" s="44"/>
      <c r="C2" s="45"/>
      <c r="D2" s="46"/>
      <c r="E2" s="45"/>
      <c r="F2" s="41" t="s">
        <v>129</v>
      </c>
      <c r="G2" s="47" t="s">
        <v>130</v>
      </c>
      <c r="J2" s="43"/>
      <c r="K2" s="43"/>
      <c r="N2" s="43"/>
      <c r="O2" s="43"/>
      <c r="R2" s="43"/>
      <c r="S2" s="43"/>
      <c r="V2" s="43"/>
      <c r="W2" s="43"/>
      <c r="Z2" s="43"/>
      <c r="AA2" s="43"/>
    </row>
    <row r="3" ht="15.0" customHeight="1">
      <c r="A3" s="48"/>
      <c r="B3" s="49"/>
      <c r="C3" s="50"/>
      <c r="D3" s="51"/>
      <c r="E3" s="50"/>
      <c r="F3" s="41" t="s">
        <v>131</v>
      </c>
      <c r="G3" s="42">
        <v>3.0</v>
      </c>
      <c r="J3" s="43"/>
      <c r="K3" s="43"/>
      <c r="N3" s="43"/>
      <c r="O3" s="43"/>
      <c r="R3" s="43"/>
      <c r="S3" s="43"/>
      <c r="V3" s="43"/>
      <c r="W3" s="43"/>
      <c r="Z3" s="43"/>
      <c r="AA3" s="43"/>
    </row>
    <row r="4">
      <c r="A4" s="52"/>
      <c r="B4" s="53"/>
      <c r="C4" s="54"/>
      <c r="D4" s="54"/>
      <c r="E4" s="54"/>
      <c r="F4" s="43"/>
      <c r="G4" s="55"/>
    </row>
    <row r="5">
      <c r="B5" s="56" t="s">
        <v>132</v>
      </c>
      <c r="C5" s="57"/>
      <c r="D5" s="57"/>
      <c r="E5" s="57"/>
      <c r="F5" s="57"/>
      <c r="G5" s="58"/>
    </row>
    <row r="6">
      <c r="A6" s="59" t="s">
        <v>133</v>
      </c>
      <c r="B6" s="60" t="s">
        <v>134</v>
      </c>
      <c r="C6" s="61" t="s">
        <v>23</v>
      </c>
      <c r="D6" s="62" t="s">
        <v>135</v>
      </c>
      <c r="E6" s="62" t="s">
        <v>4</v>
      </c>
      <c r="F6" s="63" t="s">
        <v>136</v>
      </c>
      <c r="G6" s="64" t="s">
        <v>137</v>
      </c>
    </row>
    <row r="7">
      <c r="A7" s="65" t="s">
        <v>138</v>
      </c>
      <c r="B7" s="66" t="s">
        <v>139</v>
      </c>
      <c r="C7" s="66" t="s">
        <v>50</v>
      </c>
      <c r="D7" s="66" t="s">
        <v>49</v>
      </c>
      <c r="E7" s="66">
        <v>14.0</v>
      </c>
      <c r="F7" s="67">
        <v>6.72</v>
      </c>
      <c r="G7" s="68">
        <f>SUMIFS(LIBERACION!$V:$V,LIBERACION!$D:$D,D7,LIBERACION!$E:$E,E7,LIBERACION!$X:$X,C7)</f>
        <v>178500</v>
      </c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</row>
    <row r="8">
      <c r="A8" s="65" t="s">
        <v>138</v>
      </c>
      <c r="B8" s="66" t="s">
        <v>139</v>
      </c>
      <c r="C8" s="66" t="s">
        <v>61</v>
      </c>
      <c r="D8" s="66" t="s">
        <v>49</v>
      </c>
      <c r="E8" s="66">
        <v>12.0</v>
      </c>
      <c r="F8" s="67">
        <v>14.22</v>
      </c>
      <c r="G8" s="68">
        <f>SUMIFS(LIBERACION!$V:$V,LIBERACION!$D:$D,D8,LIBERACION!$E:$E,E8,LIBERACION!$X:$X,C8)</f>
        <v>104150</v>
      </c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</row>
    <row r="9">
      <c r="A9" s="70" t="s">
        <v>140</v>
      </c>
      <c r="B9" s="71" t="s">
        <v>139</v>
      </c>
      <c r="C9" s="72" t="s">
        <v>77</v>
      </c>
      <c r="D9" s="72" t="s">
        <v>27</v>
      </c>
      <c r="E9" s="72">
        <v>12.0</v>
      </c>
      <c r="F9" s="67">
        <v>1.59</v>
      </c>
      <c r="G9" s="68">
        <f>SUMIFS(LIBERACION!$V:$V,LIBERACION!$D:$D,D9,LIBERACION!$E:$E,E9,LIBERACION!$X:$X,C9)</f>
        <v>2125</v>
      </c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>
      <c r="A10" s="70" t="s">
        <v>140</v>
      </c>
      <c r="B10" s="71" t="s">
        <v>139</v>
      </c>
      <c r="C10" s="72" t="s">
        <v>58</v>
      </c>
      <c r="D10" s="72" t="s">
        <v>27</v>
      </c>
      <c r="E10" s="72">
        <v>8.0</v>
      </c>
      <c r="F10" s="67">
        <v>96.11</v>
      </c>
      <c r="G10" s="68">
        <f>SUMIFS(LIBERACION!$V:$V,LIBERACION!$D:$D,D10,LIBERACION!$E:$E,E10,LIBERACION!$X:$X,C10)</f>
        <v>37250</v>
      </c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>
      <c r="A11" s="70" t="s">
        <v>140</v>
      </c>
      <c r="B11" s="71" t="s">
        <v>139</v>
      </c>
      <c r="C11" s="72" t="s">
        <v>76</v>
      </c>
      <c r="D11" s="72" t="s">
        <v>27</v>
      </c>
      <c r="E11" s="72">
        <v>10.0</v>
      </c>
      <c r="F11" s="67">
        <v>0.0</v>
      </c>
      <c r="G11" s="68">
        <f>SUMIFS(LIBERACION!$V:$V,LIBERACION!$D:$D,D11,LIBERACION!$E:$E,E11,LIBERACION!$X:$X,C11)</f>
        <v>725</v>
      </c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>
      <c r="A12" s="70" t="s">
        <v>140</v>
      </c>
      <c r="B12" s="71" t="s">
        <v>139</v>
      </c>
      <c r="C12" s="72" t="s">
        <v>59</v>
      </c>
      <c r="D12" s="72" t="s">
        <v>27</v>
      </c>
      <c r="E12" s="72">
        <v>10.0</v>
      </c>
      <c r="F12" s="67">
        <v>1.38</v>
      </c>
      <c r="G12" s="68">
        <f>SUMIFS(LIBERACION!$V:$V,LIBERACION!$D:$D,D12,LIBERACION!$E:$E,E12,LIBERACION!$X:$X,C12)</f>
        <v>15050</v>
      </c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>
      <c r="A13" s="70" t="s">
        <v>140</v>
      </c>
      <c r="B13" s="71" t="s">
        <v>139</v>
      </c>
      <c r="C13" s="72" t="s">
        <v>73</v>
      </c>
      <c r="D13" s="72" t="s">
        <v>27</v>
      </c>
      <c r="E13" s="72">
        <v>12.0</v>
      </c>
      <c r="F13" s="67">
        <v>20.46</v>
      </c>
      <c r="G13" s="68">
        <f>SUMIFS(LIBERACION!$V:$V,LIBERACION!$D:$D,D13,LIBERACION!$E:$E,E13,LIBERACION!$X:$X,C13)</f>
        <v>124375</v>
      </c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>
      <c r="A14" s="70" t="s">
        <v>140</v>
      </c>
      <c r="B14" s="71" t="s">
        <v>139</v>
      </c>
      <c r="C14" s="72" t="s">
        <v>78</v>
      </c>
      <c r="D14" s="72" t="s">
        <v>55</v>
      </c>
      <c r="E14" s="72">
        <v>12.0</v>
      </c>
      <c r="F14" s="67">
        <v>8.4</v>
      </c>
      <c r="G14" s="68">
        <f>SUMIFS(LIBERACION!$V:$V,LIBERACION!$D:$D,D14,LIBERACION!$E:$E,E14,LIBERACION!$X:$X,C14)</f>
        <v>7300</v>
      </c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>
      <c r="A15" s="70" t="s">
        <v>140</v>
      </c>
      <c r="B15" s="71" t="s">
        <v>139</v>
      </c>
      <c r="C15" s="72" t="s">
        <v>115</v>
      </c>
      <c r="D15" s="72" t="s">
        <v>84</v>
      </c>
      <c r="E15" s="72">
        <v>16.0</v>
      </c>
      <c r="F15" s="67">
        <v>2.67</v>
      </c>
      <c r="G15" s="68">
        <f>SUMIFS(LIBERACION!$V:$V,LIBERACION!$D:$D,D15,LIBERACION!$E:$E,E15,LIBERACION!$X:$X,C15)</f>
        <v>3050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</row>
    <row r="16">
      <c r="A16" s="70" t="s">
        <v>140</v>
      </c>
      <c r="B16" s="71" t="s">
        <v>139</v>
      </c>
      <c r="C16" s="72" t="s">
        <v>74</v>
      </c>
      <c r="D16" s="72" t="s">
        <v>55</v>
      </c>
      <c r="E16" s="72">
        <v>12.0</v>
      </c>
      <c r="F16" s="67">
        <v>67.87</v>
      </c>
      <c r="G16" s="68">
        <f>SUMIFS(LIBERACION!$V:$V,LIBERACION!$D:$D,D16,LIBERACION!$E:$E,E16,LIBERACION!$X:$X,C16)</f>
        <v>640725</v>
      </c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</row>
    <row r="17">
      <c r="A17" s="70" t="s">
        <v>140</v>
      </c>
      <c r="B17" s="71" t="s">
        <v>139</v>
      </c>
      <c r="C17" s="72" t="s">
        <v>91</v>
      </c>
      <c r="D17" s="72" t="s">
        <v>55</v>
      </c>
      <c r="E17" s="72">
        <v>14.0</v>
      </c>
      <c r="F17" s="67">
        <v>0.94</v>
      </c>
      <c r="G17" s="68">
        <f>SUMIFS(LIBERACION!$V:$V,LIBERACION!$D:$D,D17,LIBERACION!$E:$E,E17,LIBERACION!$X:$X,C17)</f>
        <v>1800</v>
      </c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</row>
    <row r="18">
      <c r="A18" s="70" t="s">
        <v>140</v>
      </c>
      <c r="B18" s="71" t="s">
        <v>139</v>
      </c>
      <c r="C18" s="72" t="s">
        <v>85</v>
      </c>
      <c r="D18" s="72" t="s">
        <v>84</v>
      </c>
      <c r="E18" s="72">
        <v>16.0</v>
      </c>
      <c r="F18" s="67">
        <v>4.63</v>
      </c>
      <c r="G18" s="68">
        <f>SUMIFS(LIBERACION!$V:$V,LIBERACION!$D:$D,D18,LIBERACION!$E:$E,E18,LIBERACION!$X:$X,C18)</f>
        <v>59500</v>
      </c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</row>
    <row r="19">
      <c r="A19" s="70" t="s">
        <v>140</v>
      </c>
      <c r="B19" s="71" t="s">
        <v>139</v>
      </c>
      <c r="C19" s="72" t="s">
        <v>83</v>
      </c>
      <c r="D19" s="72" t="s">
        <v>55</v>
      </c>
      <c r="E19" s="72">
        <v>14.0</v>
      </c>
      <c r="F19" s="67">
        <v>27.21</v>
      </c>
      <c r="G19" s="68">
        <f>SUMIFS(LIBERACION!$V:$V,LIBERACION!$D:$D,D19,LIBERACION!$E:$E,E19,LIBERACION!$X:$X,C19)</f>
        <v>478275</v>
      </c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</row>
    <row r="20">
      <c r="A20" s="70" t="s">
        <v>140</v>
      </c>
      <c r="B20" s="71" t="s">
        <v>139</v>
      </c>
      <c r="C20" s="72" t="s">
        <v>113</v>
      </c>
      <c r="D20" s="72" t="s">
        <v>55</v>
      </c>
      <c r="E20" s="72">
        <v>10.0</v>
      </c>
      <c r="F20" s="67">
        <v>0.0</v>
      </c>
      <c r="G20" s="68">
        <f>SUMIFS(LIBERACION!$V:$V,LIBERACION!$D:$D,D20,LIBERACION!$E:$E,E20,LIBERACION!$X:$X,C20)</f>
        <v>375</v>
      </c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</row>
    <row r="21">
      <c r="A21" s="70" t="s">
        <v>140</v>
      </c>
      <c r="B21" s="71" t="s">
        <v>139</v>
      </c>
      <c r="C21" s="72" t="s">
        <v>94</v>
      </c>
      <c r="D21" s="72" t="s">
        <v>55</v>
      </c>
      <c r="E21" s="72">
        <v>10.0</v>
      </c>
      <c r="F21" s="67">
        <v>20.7</v>
      </c>
      <c r="G21" s="68">
        <f>SUMIFS(LIBERACION!$V:$V,LIBERACION!$D:$D,D21,LIBERACION!$E:$E,E21,LIBERACION!$X:$X,C21)</f>
        <v>120400</v>
      </c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</row>
    <row r="22">
      <c r="A22" s="70" t="s">
        <v>140</v>
      </c>
      <c r="B22" s="71" t="s">
        <v>139</v>
      </c>
      <c r="C22" s="72" t="s">
        <v>114</v>
      </c>
      <c r="D22" s="72" t="s">
        <v>55</v>
      </c>
      <c r="E22" s="72">
        <v>8.0</v>
      </c>
      <c r="F22" s="67">
        <v>3.02</v>
      </c>
      <c r="G22" s="68">
        <f>SUMIFS(LIBERACION!$V:$V,LIBERACION!$D:$D,D22,LIBERACION!$E:$E,E22,LIBERACION!$X:$X,C22)</f>
        <v>1350</v>
      </c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>
      <c r="A23" s="70" t="s">
        <v>140</v>
      </c>
      <c r="B23" s="71" t="s">
        <v>139</v>
      </c>
      <c r="C23" s="72" t="s">
        <v>106</v>
      </c>
      <c r="D23" s="72" t="s">
        <v>55</v>
      </c>
      <c r="E23" s="72">
        <v>6.0</v>
      </c>
      <c r="F23" s="67">
        <v>8.55</v>
      </c>
      <c r="G23" s="68">
        <f>SUMIFS(LIBERACION!$V:$V,LIBERACION!$D:$D,D23,LIBERACION!$E:$E,E23,LIBERACION!$X:$X,C23)</f>
        <v>6225</v>
      </c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>
      <c r="A24" s="70" t="s">
        <v>140</v>
      </c>
      <c r="B24" s="71" t="s">
        <v>139</v>
      </c>
      <c r="C24" s="72"/>
      <c r="D24" s="72"/>
      <c r="E24" s="72"/>
      <c r="F24" s="67">
        <v>0.0</v>
      </c>
      <c r="G24" s="68">
        <f>SUMIFS(LIBERACION!$V:$V,LIBERACION!$D:$D,D24,LIBERACION!$E:$E,E24,LIBERACION!$X:$X,C24)</f>
        <v>0</v>
      </c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>
      <c r="A25" s="70" t="s">
        <v>140</v>
      </c>
      <c r="B25" s="71" t="s">
        <v>139</v>
      </c>
      <c r="C25" s="72"/>
      <c r="D25" s="72"/>
      <c r="E25" s="72"/>
      <c r="F25" s="67">
        <v>0.0</v>
      </c>
      <c r="G25" s="68">
        <f>SUMIFS(LIBERACION!$V:$V,LIBERACION!$D:$D,D25,LIBERACION!$E:$E,E25,LIBERACION!$X:$X,C25)</f>
        <v>0</v>
      </c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>
      <c r="A26" s="70" t="s">
        <v>140</v>
      </c>
      <c r="B26" s="71" t="s">
        <v>139</v>
      </c>
      <c r="C26" s="72"/>
      <c r="D26" s="72"/>
      <c r="E26" s="72"/>
      <c r="F26" s="67">
        <v>0.0</v>
      </c>
      <c r="G26" s="68">
        <f>SUMIFS(LIBERACION!$V:$V,LIBERACION!$D:$D,D26,LIBERACION!$E:$E,E26,LIBERACION!$X:$X,C26)</f>
        <v>0</v>
      </c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>
      <c r="A27" s="73" t="s">
        <v>141</v>
      </c>
      <c r="B27" s="74" t="s">
        <v>139</v>
      </c>
      <c r="C27" s="75" t="s">
        <v>65</v>
      </c>
      <c r="D27" s="75" t="s">
        <v>60</v>
      </c>
      <c r="E27" s="76" t="s">
        <v>46</v>
      </c>
      <c r="F27" s="67">
        <v>2.7</v>
      </c>
      <c r="G27" s="68">
        <f>SUMIFS(LIBERACION!$V:$V,LIBERACION!$D:$D,D27,LIBERACION!$E:$E,E27,LIBERACION!$X:$X,C27)</f>
        <v>10100</v>
      </c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>
      <c r="A28" s="73" t="s">
        <v>141</v>
      </c>
      <c r="B28" s="74" t="s">
        <v>139</v>
      </c>
      <c r="C28" s="75" t="s">
        <v>64</v>
      </c>
      <c r="D28" s="75" t="s">
        <v>60</v>
      </c>
      <c r="E28" s="76" t="s">
        <v>63</v>
      </c>
      <c r="F28" s="67">
        <v>17.82</v>
      </c>
      <c r="G28" s="68">
        <f>SUMIFS(LIBERACION!$V:$V,LIBERACION!$D:$D,D28,LIBERACION!$E:$E,E28,LIBERACION!$X:$X,C28)</f>
        <v>14725</v>
      </c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>
      <c r="A29" s="73" t="s">
        <v>141</v>
      </c>
      <c r="B29" s="74" t="s">
        <v>139</v>
      </c>
      <c r="C29" s="75" t="s">
        <v>72</v>
      </c>
      <c r="D29" s="75" t="s">
        <v>60</v>
      </c>
      <c r="E29" s="76" t="s">
        <v>71</v>
      </c>
      <c r="F29" s="67">
        <v>0.0</v>
      </c>
      <c r="G29" s="68">
        <f>SUMIFS(LIBERACION!$V:$V,LIBERACION!$D:$D,D29,LIBERACION!$E:$E,E29,LIBERACION!$X:$X,C29)</f>
        <v>3100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>
      <c r="A30" s="73" t="s">
        <v>141</v>
      </c>
      <c r="B30" s="74" t="s">
        <v>139</v>
      </c>
      <c r="C30" s="75" t="s">
        <v>80</v>
      </c>
      <c r="D30" s="75" t="s">
        <v>53</v>
      </c>
      <c r="E30" s="76" t="s">
        <v>46</v>
      </c>
      <c r="F30" s="67">
        <v>19.36</v>
      </c>
      <c r="G30" s="68">
        <f>SUMIFS(LIBERACION!$V:$V,LIBERACION!$D:$D,D30,LIBERACION!$E:$E,E30,LIBERACION!$X:$X,C30)</f>
        <v>29125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>
      <c r="A31" s="73" t="s">
        <v>141</v>
      </c>
      <c r="B31" s="74" t="s">
        <v>139</v>
      </c>
      <c r="C31" s="75" t="s">
        <v>89</v>
      </c>
      <c r="D31" s="75" t="s">
        <v>53</v>
      </c>
      <c r="E31" s="76" t="s">
        <v>63</v>
      </c>
      <c r="F31" s="67">
        <v>48.47</v>
      </c>
      <c r="G31" s="68">
        <f>SUMIFS(LIBERACION!$V:$V,LIBERACION!$D:$D,D31,LIBERACION!$E:$E,E31,LIBERACION!$X:$X,C31)</f>
        <v>24650</v>
      </c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>
      <c r="A32" s="73" t="s">
        <v>141</v>
      </c>
      <c r="B32" s="74" t="s">
        <v>139</v>
      </c>
      <c r="C32" s="75" t="s">
        <v>82</v>
      </c>
      <c r="D32" s="75" t="s">
        <v>53</v>
      </c>
      <c r="E32" s="76" t="s">
        <v>42</v>
      </c>
      <c r="F32" s="67">
        <v>31.68</v>
      </c>
      <c r="G32" s="68">
        <f>SUMIFS(LIBERACION!$V:$V,LIBERACION!$D:$D,D32,LIBERACION!$E:$E,E32,LIBERACION!$X:$X,C32)</f>
        <v>12725</v>
      </c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>
      <c r="A33" s="73" t="s">
        <v>141</v>
      </c>
      <c r="B33" s="74" t="s">
        <v>139</v>
      </c>
      <c r="C33" s="75" t="s">
        <v>87</v>
      </c>
      <c r="D33" s="75" t="s">
        <v>53</v>
      </c>
      <c r="E33" s="76" t="s">
        <v>51</v>
      </c>
      <c r="F33" s="67">
        <v>38.8</v>
      </c>
      <c r="G33" s="68">
        <f>SUMIFS(LIBERACION!$V:$V,LIBERACION!$D:$D,D33,LIBERACION!$E:$E,E33,LIBERACION!$X:$X,C33)</f>
        <v>25275</v>
      </c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>
      <c r="A34" s="73" t="s">
        <v>141</v>
      </c>
      <c r="B34" s="74" t="s">
        <v>139</v>
      </c>
      <c r="C34" s="75" t="s">
        <v>95</v>
      </c>
      <c r="D34" s="75" t="s">
        <v>53</v>
      </c>
      <c r="E34" s="76" t="s">
        <v>54</v>
      </c>
      <c r="F34" s="67">
        <v>2.41</v>
      </c>
      <c r="G34" s="68">
        <f>SUMIFS(LIBERACION!$V:$V,LIBERACION!$D:$D,D34,LIBERACION!$E:$E,E34,LIBERACION!$X:$X,C34)</f>
        <v>15025</v>
      </c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>
      <c r="A35" s="73" t="s">
        <v>141</v>
      </c>
      <c r="B35" s="74" t="s">
        <v>139</v>
      </c>
      <c r="C35" s="75" t="s">
        <v>98</v>
      </c>
      <c r="D35" s="75" t="s">
        <v>53</v>
      </c>
      <c r="E35" s="76" t="s">
        <v>43</v>
      </c>
      <c r="F35" s="67">
        <v>3.32</v>
      </c>
      <c r="G35" s="68">
        <f>SUMIFS(LIBERACION!$V:$V,LIBERACION!$D:$D,D35,LIBERACION!$E:$E,E35,LIBERACION!$X:$X,C35)</f>
        <v>10175</v>
      </c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>
      <c r="A36" s="73" t="s">
        <v>141</v>
      </c>
      <c r="B36" s="74" t="s">
        <v>139</v>
      </c>
      <c r="C36" s="75" t="s">
        <v>107</v>
      </c>
      <c r="D36" s="75" t="s">
        <v>53</v>
      </c>
      <c r="E36" s="76" t="s">
        <v>71</v>
      </c>
      <c r="F36" s="67">
        <v>29.43</v>
      </c>
      <c r="G36" s="68">
        <f>SUMIFS(LIBERACION!$V:$V,LIBERACION!$D:$D,D36,LIBERACION!$E:$E,E36,LIBERACION!$X:$X,C36)</f>
        <v>9850</v>
      </c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</row>
    <row r="37">
      <c r="A37" s="73" t="s">
        <v>141</v>
      </c>
      <c r="B37" s="74" t="s">
        <v>139</v>
      </c>
      <c r="C37" s="75" t="s">
        <v>120</v>
      </c>
      <c r="D37" s="75" t="s">
        <v>53</v>
      </c>
      <c r="E37" s="76" t="s">
        <v>119</v>
      </c>
      <c r="F37" s="67">
        <v>16.99</v>
      </c>
      <c r="G37" s="68">
        <f>SUMIFS(LIBERACION!$V:$V,LIBERACION!$D:$D,D37,LIBERACION!$E:$E,E37,LIBERACION!$X:$X,C37)</f>
        <v>4975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</row>
    <row r="38">
      <c r="A38" s="73" t="s">
        <v>141</v>
      </c>
      <c r="B38" s="74" t="s">
        <v>139</v>
      </c>
      <c r="C38" s="75" t="s">
        <v>99</v>
      </c>
      <c r="D38" s="75" t="s">
        <v>53</v>
      </c>
      <c r="E38" s="76" t="s">
        <v>51</v>
      </c>
      <c r="F38" s="67">
        <v>0.0</v>
      </c>
      <c r="G38" s="68">
        <f>SUMIFS(LIBERACION!$V:$V,LIBERACION!$D:$D,D38,LIBERACION!$E:$E,E38,LIBERACION!$X:$X,C38)</f>
        <v>100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>
      <c r="A39" s="73" t="s">
        <v>141</v>
      </c>
      <c r="B39" s="74" t="s">
        <v>139</v>
      </c>
      <c r="C39" s="75" t="s">
        <v>111</v>
      </c>
      <c r="D39" s="75" t="s">
        <v>60</v>
      </c>
      <c r="E39" s="76" t="s">
        <v>42</v>
      </c>
      <c r="F39" s="67">
        <v>0.0</v>
      </c>
      <c r="G39" s="68">
        <f>SUMIFS(LIBERACION!$V:$V,LIBERACION!$D:$D,D39,LIBERACION!$E:$E,E39,LIBERACION!$X:$X,C39)</f>
        <v>9500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</row>
    <row r="40">
      <c r="A40" s="73" t="s">
        <v>141</v>
      </c>
      <c r="B40" s="74" t="s">
        <v>139</v>
      </c>
      <c r="C40" s="75" t="s">
        <v>142</v>
      </c>
      <c r="D40" s="75" t="s">
        <v>53</v>
      </c>
      <c r="E40" s="77"/>
      <c r="F40" s="67">
        <v>0.0</v>
      </c>
      <c r="G40" s="68">
        <f>SUMIFS(LIBERACION!$V:$V,LIBERACION!$D:$D,D40,LIBERACION!$E:$E,E40,LIBERACION!$X:$X,C40)</f>
        <v>0</v>
      </c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>
      <c r="A41" s="78" t="s">
        <v>143</v>
      </c>
      <c r="B41" s="79" t="s">
        <v>139</v>
      </c>
      <c r="C41" s="79" t="s">
        <v>52</v>
      </c>
      <c r="D41" s="79" t="s">
        <v>34</v>
      </c>
      <c r="E41" s="79" t="s">
        <v>51</v>
      </c>
      <c r="F41" s="67">
        <v>45.94</v>
      </c>
      <c r="G41" s="68">
        <f>SUMIFS(LIBERACION!$V:$V,LIBERACION!$D:$D,D41,LIBERACION!$E:$E,E41,LIBERACION!$X:$X,C41)</f>
        <v>241060</v>
      </c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</row>
    <row r="42">
      <c r="A42" s="78" t="s">
        <v>143</v>
      </c>
      <c r="B42" s="79" t="s">
        <v>139</v>
      </c>
      <c r="C42" s="79" t="s">
        <v>79</v>
      </c>
      <c r="D42" s="79" t="s">
        <v>34</v>
      </c>
      <c r="E42" s="79" t="s">
        <v>42</v>
      </c>
      <c r="F42" s="67">
        <v>29.83</v>
      </c>
      <c r="G42" s="68">
        <f>SUMIFS(LIBERACION!$V:$V,LIBERACION!$D:$D,D42,LIBERACION!$E:$E,E42,LIBERACION!$X:$X,C42)</f>
        <v>179260</v>
      </c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</row>
    <row r="43">
      <c r="A43" s="78" t="s">
        <v>143</v>
      </c>
      <c r="B43" s="79" t="s">
        <v>139</v>
      </c>
      <c r="C43" s="79" t="s">
        <v>86</v>
      </c>
      <c r="D43" s="79" t="s">
        <v>34</v>
      </c>
      <c r="E43" s="79" t="s">
        <v>46</v>
      </c>
      <c r="F43" s="67">
        <v>59.84</v>
      </c>
      <c r="G43" s="68">
        <f>SUMIFS(LIBERACION!$V:$V,LIBERACION!$D:$D,D43,LIBERACION!$E:$E,E43,LIBERACION!$X:$X,C43)</f>
        <v>162800</v>
      </c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</row>
    <row r="44">
      <c r="A44" s="78" t="s">
        <v>143</v>
      </c>
      <c r="B44" s="79" t="s">
        <v>139</v>
      </c>
      <c r="C44" s="79" t="s">
        <v>93</v>
      </c>
      <c r="D44" s="79" t="s">
        <v>34</v>
      </c>
      <c r="E44" s="79" t="s">
        <v>92</v>
      </c>
      <c r="F44" s="67">
        <v>14.8</v>
      </c>
      <c r="G44" s="68">
        <f>SUMIFS(LIBERACION!$V:$V,LIBERACION!$D:$D,D44,LIBERACION!$E:$E,E44,LIBERACION!$X:$X,C44)</f>
        <v>80075</v>
      </c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</row>
    <row r="45">
      <c r="A45" s="78" t="s">
        <v>143</v>
      </c>
      <c r="B45" s="79" t="s">
        <v>139</v>
      </c>
      <c r="C45" s="79" t="s">
        <v>105</v>
      </c>
      <c r="D45" s="79" t="s">
        <v>34</v>
      </c>
      <c r="E45" s="79" t="s">
        <v>43</v>
      </c>
      <c r="F45" s="80">
        <v>28.72</v>
      </c>
      <c r="G45" s="68">
        <f>SUMIFS(LIBERACION!$V:$V,LIBERACION!$D:$D,D45,LIBERACION!$E:$E,E45,LIBERACION!$X:$X,C45)</f>
        <v>47350</v>
      </c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</row>
    <row r="46">
      <c r="A46" s="78" t="s">
        <v>143</v>
      </c>
      <c r="B46" s="79" t="s">
        <v>139</v>
      </c>
      <c r="C46" s="79" t="s">
        <v>109</v>
      </c>
      <c r="D46" s="79" t="s">
        <v>34</v>
      </c>
      <c r="E46" s="79" t="s">
        <v>35</v>
      </c>
      <c r="F46" s="80">
        <v>11.52</v>
      </c>
      <c r="G46" s="68">
        <f>SUMIFS(LIBERACION!$V:$V,LIBERACION!$D:$D,D46,LIBERACION!$E:$E,E46,LIBERACION!$X:$X,C46)</f>
        <v>125725</v>
      </c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</row>
    <row r="47">
      <c r="A47" s="52"/>
      <c r="B47" s="53"/>
      <c r="C47" s="54"/>
      <c r="D47" s="54"/>
      <c r="E47" s="81"/>
      <c r="F47" s="82">
        <f>SUM(F7:F44)</f>
        <v>645.86</v>
      </c>
      <c r="G47" s="83">
        <f>SUM(G7:G46)</f>
        <v>2786770</v>
      </c>
      <c r="H47" s="36">
        <f>SUMIFS(LIBERACION!V:V,LIBERACION!X:X,"N/A")</f>
        <v>541450</v>
      </c>
      <c r="I47" s="84">
        <f>G47+H47</f>
        <v>3328220</v>
      </c>
      <c r="J47" s="85">
        <f>LIBERACION!W1</f>
        <v>3328220</v>
      </c>
    </row>
    <row r="48">
      <c r="A48" s="52"/>
      <c r="B48" s="53"/>
      <c r="C48" s="54"/>
      <c r="D48" s="54"/>
      <c r="E48" s="54"/>
      <c r="F48" s="43"/>
      <c r="G48" s="55"/>
      <c r="I48" s="55">
        <f>J47-I47</f>
        <v>0</v>
      </c>
    </row>
    <row r="49">
      <c r="A49" s="52"/>
      <c r="B49" s="53"/>
      <c r="C49" s="54"/>
      <c r="D49" s="54"/>
      <c r="E49" s="86" t="s">
        <v>144</v>
      </c>
      <c r="F49" s="43"/>
      <c r="G49" s="55"/>
    </row>
    <row r="50">
      <c r="A50" s="52"/>
      <c r="B50" s="53"/>
      <c r="C50" s="54"/>
      <c r="D50" s="54"/>
      <c r="E50" s="54"/>
      <c r="F50" s="43"/>
    </row>
    <row r="51">
      <c r="A51" s="52"/>
      <c r="B51" s="53"/>
      <c r="C51" s="54"/>
      <c r="D51" s="54"/>
      <c r="E51" s="54"/>
      <c r="F51" s="43"/>
      <c r="G51" s="55"/>
    </row>
    <row r="52">
      <c r="A52" s="52"/>
      <c r="B52" s="53"/>
      <c r="C52" s="54"/>
      <c r="D52" s="54"/>
      <c r="E52" s="54"/>
      <c r="F52" s="43"/>
      <c r="G52" s="55"/>
    </row>
    <row r="53">
      <c r="A53" s="52"/>
      <c r="B53" s="53"/>
      <c r="C53" s="54"/>
      <c r="D53" s="54"/>
      <c r="E53" s="54"/>
      <c r="F53" s="43"/>
      <c r="G53" s="55"/>
    </row>
    <row r="54">
      <c r="A54" s="52"/>
      <c r="B54" s="53"/>
      <c r="C54" s="54"/>
      <c r="D54" s="54"/>
      <c r="E54" s="54"/>
      <c r="F54" s="43"/>
      <c r="G54" s="55"/>
    </row>
    <row r="55">
      <c r="A55" s="52"/>
      <c r="B55" s="53"/>
      <c r="C55" s="54"/>
      <c r="D55" s="54"/>
      <c r="E55" s="54"/>
      <c r="F55" s="43"/>
      <c r="G55" s="55"/>
    </row>
    <row r="56">
      <c r="A56" s="52"/>
      <c r="B56" s="53"/>
      <c r="C56" s="54"/>
      <c r="D56" s="54"/>
      <c r="E56" s="54"/>
      <c r="F56" s="43"/>
      <c r="G56" s="55"/>
    </row>
    <row r="57">
      <c r="A57" s="52"/>
      <c r="B57" s="53"/>
      <c r="C57" s="54"/>
      <c r="D57" s="54"/>
      <c r="E57" s="54"/>
      <c r="F57" s="43"/>
      <c r="G57" s="55"/>
    </row>
    <row r="58">
      <c r="A58" s="52"/>
      <c r="B58" s="53"/>
      <c r="C58" s="54"/>
      <c r="D58" s="54"/>
      <c r="E58" s="54"/>
      <c r="F58" s="43"/>
      <c r="G58" s="55"/>
    </row>
    <row r="59">
      <c r="A59" s="52"/>
      <c r="B59" s="53"/>
      <c r="C59" s="54"/>
      <c r="D59" s="54"/>
      <c r="E59" s="54"/>
      <c r="F59" s="43"/>
      <c r="G59" s="55"/>
    </row>
    <row r="60">
      <c r="A60" s="52"/>
      <c r="B60" s="53"/>
      <c r="C60" s="54"/>
      <c r="D60" s="54"/>
      <c r="E60" s="54"/>
      <c r="F60" s="43"/>
      <c r="G60" s="55"/>
    </row>
    <row r="61">
      <c r="A61" s="52"/>
      <c r="B61" s="53"/>
      <c r="C61" s="54"/>
      <c r="D61" s="54"/>
      <c r="E61" s="54"/>
      <c r="F61" s="43"/>
      <c r="G61" s="55"/>
    </row>
    <row r="62">
      <c r="A62" s="52"/>
      <c r="B62" s="53"/>
      <c r="C62" s="54"/>
      <c r="D62" s="54"/>
      <c r="E62" s="54"/>
      <c r="F62" s="43"/>
      <c r="G62" s="55"/>
    </row>
    <row r="63">
      <c r="A63" s="52"/>
      <c r="B63" s="53"/>
      <c r="C63" s="54"/>
      <c r="D63" s="54"/>
      <c r="E63" s="54"/>
      <c r="F63" s="43"/>
      <c r="G63" s="55"/>
    </row>
    <row r="64">
      <c r="A64" s="52"/>
      <c r="B64" s="53"/>
      <c r="C64" s="54"/>
      <c r="D64" s="54"/>
      <c r="E64" s="54"/>
      <c r="F64" s="43"/>
      <c r="G64" s="55"/>
    </row>
    <row r="65">
      <c r="A65" s="52"/>
      <c r="B65" s="53"/>
      <c r="C65" s="54"/>
      <c r="D65" s="54"/>
      <c r="E65" s="54"/>
      <c r="F65" s="43"/>
      <c r="G65" s="55"/>
    </row>
    <row r="66">
      <c r="A66" s="52"/>
      <c r="B66" s="53"/>
      <c r="C66" s="54"/>
      <c r="D66" s="54"/>
      <c r="E66" s="54"/>
      <c r="F66" s="43"/>
      <c r="G66" s="55"/>
    </row>
    <row r="67">
      <c r="A67" s="52"/>
      <c r="B67" s="53"/>
      <c r="C67" s="54"/>
      <c r="D67" s="54"/>
      <c r="E67" s="54"/>
      <c r="F67" s="43"/>
      <c r="G67" s="55"/>
    </row>
    <row r="68">
      <c r="A68" s="52"/>
      <c r="B68" s="53"/>
      <c r="C68" s="54"/>
      <c r="D68" s="54"/>
      <c r="E68" s="54"/>
      <c r="F68" s="43"/>
      <c r="G68" s="55"/>
    </row>
    <row r="69">
      <c r="A69" s="52"/>
      <c r="B69" s="53"/>
      <c r="C69" s="54"/>
      <c r="D69" s="54"/>
      <c r="E69" s="54"/>
      <c r="F69" s="43"/>
      <c r="G69" s="55"/>
    </row>
    <row r="70">
      <c r="A70" s="52"/>
      <c r="B70" s="53"/>
      <c r="C70" s="54"/>
      <c r="D70" s="54"/>
      <c r="E70" s="54"/>
      <c r="F70" s="43"/>
      <c r="G70" s="55"/>
    </row>
    <row r="71">
      <c r="A71" s="52"/>
      <c r="B71" s="53"/>
      <c r="C71" s="54"/>
      <c r="D71" s="54"/>
      <c r="E71" s="54"/>
      <c r="F71" s="43"/>
      <c r="G71" s="55"/>
    </row>
    <row r="72">
      <c r="A72" s="52"/>
      <c r="B72" s="53"/>
      <c r="C72" s="54"/>
      <c r="D72" s="54"/>
      <c r="E72" s="54"/>
      <c r="F72" s="43"/>
      <c r="G72" s="55"/>
    </row>
    <row r="73">
      <c r="A73" s="52"/>
      <c r="B73" s="53"/>
      <c r="C73" s="54"/>
      <c r="D73" s="54"/>
      <c r="E73" s="54"/>
      <c r="F73" s="43"/>
      <c r="G73" s="55"/>
    </row>
    <row r="74">
      <c r="A74" s="52"/>
      <c r="B74" s="53"/>
      <c r="C74" s="54"/>
      <c r="D74" s="54"/>
      <c r="E74" s="54"/>
      <c r="F74" s="43"/>
      <c r="G74" s="55"/>
    </row>
    <row r="75">
      <c r="A75" s="52"/>
      <c r="B75" s="53"/>
      <c r="C75" s="54"/>
      <c r="D75" s="54"/>
      <c r="E75" s="54"/>
      <c r="F75" s="43"/>
      <c r="G75" s="55"/>
    </row>
    <row r="76">
      <c r="A76" s="52"/>
      <c r="B76" s="53"/>
      <c r="C76" s="54"/>
      <c r="D76" s="54"/>
      <c r="E76" s="54"/>
      <c r="F76" s="43"/>
      <c r="G76" s="55"/>
    </row>
    <row r="77">
      <c r="A77" s="52"/>
      <c r="B77" s="53"/>
      <c r="C77" s="54"/>
      <c r="D77" s="54"/>
      <c r="E77" s="54"/>
      <c r="F77" s="43"/>
      <c r="G77" s="55"/>
    </row>
    <row r="78">
      <c r="A78" s="52"/>
      <c r="B78" s="53"/>
      <c r="C78" s="54"/>
      <c r="D78" s="54"/>
      <c r="E78" s="54"/>
      <c r="F78" s="43"/>
      <c r="G78" s="55"/>
    </row>
    <row r="79">
      <c r="A79" s="52"/>
      <c r="B79" s="53"/>
      <c r="C79" s="54"/>
      <c r="D79" s="54"/>
      <c r="E79" s="54"/>
      <c r="F79" s="43"/>
      <c r="G79" s="55"/>
    </row>
    <row r="80">
      <c r="A80" s="52"/>
      <c r="B80" s="53"/>
      <c r="C80" s="54"/>
      <c r="D80" s="54"/>
      <c r="E80" s="54"/>
      <c r="F80" s="43"/>
      <c r="G80" s="55"/>
    </row>
    <row r="81">
      <c r="A81" s="52"/>
      <c r="B81" s="53"/>
      <c r="C81" s="54"/>
      <c r="D81" s="54"/>
      <c r="E81" s="54"/>
      <c r="F81" s="43"/>
      <c r="G81" s="55"/>
    </row>
    <row r="82">
      <c r="A82" s="52"/>
      <c r="B82" s="53"/>
      <c r="C82" s="54"/>
      <c r="D82" s="54"/>
      <c r="E82" s="54"/>
      <c r="F82" s="43"/>
      <c r="G82" s="55"/>
    </row>
    <row r="83">
      <c r="A83" s="52"/>
      <c r="B83" s="53"/>
      <c r="C83" s="54"/>
      <c r="D83" s="54"/>
      <c r="E83" s="54"/>
      <c r="F83" s="43"/>
      <c r="G83" s="55"/>
    </row>
    <row r="84">
      <c r="A84" s="52"/>
      <c r="B84" s="53"/>
      <c r="C84" s="54"/>
      <c r="D84" s="54"/>
      <c r="E84" s="54"/>
      <c r="F84" s="43"/>
      <c r="G84" s="55"/>
    </row>
    <row r="85">
      <c r="A85" s="52"/>
      <c r="B85" s="53"/>
      <c r="C85" s="54"/>
      <c r="D85" s="54"/>
      <c r="E85" s="54"/>
      <c r="F85" s="43"/>
      <c r="G85" s="55"/>
    </row>
    <row r="86">
      <c r="A86" s="52"/>
      <c r="B86" s="53"/>
      <c r="C86" s="54"/>
      <c r="D86" s="54"/>
      <c r="E86" s="54"/>
      <c r="F86" s="43"/>
      <c r="G86" s="55"/>
    </row>
    <row r="87">
      <c r="A87" s="52"/>
      <c r="B87" s="53"/>
      <c r="C87" s="54"/>
      <c r="D87" s="54"/>
      <c r="E87" s="54"/>
      <c r="F87" s="43"/>
      <c r="G87" s="55"/>
    </row>
    <row r="88">
      <c r="A88" s="52"/>
      <c r="B88" s="53"/>
      <c r="C88" s="54"/>
      <c r="D88" s="54"/>
      <c r="E88" s="54"/>
      <c r="F88" s="43"/>
      <c r="G88" s="55"/>
    </row>
    <row r="89">
      <c r="A89" s="52"/>
      <c r="B89" s="53"/>
      <c r="C89" s="54"/>
      <c r="D89" s="54"/>
      <c r="E89" s="54"/>
      <c r="F89" s="43"/>
      <c r="G89" s="55"/>
    </row>
    <row r="90">
      <c r="A90" s="52"/>
      <c r="B90" s="53"/>
      <c r="C90" s="54"/>
      <c r="D90" s="54"/>
      <c r="E90" s="54"/>
      <c r="F90" s="43"/>
      <c r="G90" s="55"/>
    </row>
    <row r="91">
      <c r="A91" s="52"/>
      <c r="B91" s="53"/>
      <c r="C91" s="54"/>
      <c r="D91" s="54"/>
      <c r="E91" s="54"/>
      <c r="F91" s="43"/>
      <c r="G91" s="55"/>
    </row>
    <row r="92">
      <c r="A92" s="52"/>
      <c r="B92" s="53"/>
      <c r="C92" s="54"/>
      <c r="D92" s="54"/>
      <c r="E92" s="54"/>
      <c r="F92" s="43"/>
      <c r="G92" s="55"/>
    </row>
    <row r="93">
      <c r="A93" s="52"/>
      <c r="B93" s="53"/>
      <c r="C93" s="54"/>
      <c r="D93" s="54"/>
      <c r="E93" s="54"/>
      <c r="F93" s="43"/>
      <c r="G93" s="55"/>
    </row>
    <row r="94">
      <c r="A94" s="52"/>
      <c r="B94" s="53"/>
      <c r="C94" s="54"/>
      <c r="D94" s="54"/>
      <c r="E94" s="54"/>
      <c r="F94" s="43"/>
      <c r="G94" s="55"/>
    </row>
    <row r="95">
      <c r="A95" s="52"/>
      <c r="B95" s="53"/>
      <c r="C95" s="54"/>
      <c r="D95" s="54"/>
      <c r="E95" s="54"/>
      <c r="F95" s="43"/>
      <c r="G95" s="55"/>
    </row>
    <row r="96">
      <c r="A96" s="52"/>
      <c r="B96" s="53"/>
      <c r="C96" s="54"/>
      <c r="D96" s="54"/>
      <c r="E96" s="54"/>
      <c r="F96" s="43"/>
      <c r="G96" s="55"/>
    </row>
    <row r="97">
      <c r="A97" s="52"/>
      <c r="B97" s="53"/>
      <c r="C97" s="54"/>
      <c r="D97" s="54"/>
      <c r="E97" s="54"/>
      <c r="F97" s="43"/>
      <c r="G97" s="55"/>
    </row>
    <row r="98">
      <c r="A98" s="52"/>
      <c r="B98" s="53"/>
      <c r="C98" s="54"/>
      <c r="D98" s="54"/>
      <c r="E98" s="54"/>
      <c r="F98" s="43"/>
      <c r="G98" s="55"/>
    </row>
    <row r="99">
      <c r="A99" s="52"/>
      <c r="B99" s="53"/>
      <c r="C99" s="54"/>
      <c r="D99" s="54"/>
      <c r="E99" s="54"/>
      <c r="F99" s="43"/>
      <c r="G99" s="55"/>
    </row>
    <row r="100">
      <c r="A100" s="52"/>
      <c r="B100" s="53"/>
      <c r="C100" s="54"/>
      <c r="D100" s="54"/>
      <c r="E100" s="54"/>
      <c r="F100" s="43"/>
      <c r="G100" s="55"/>
    </row>
    <row r="101">
      <c r="A101" s="52"/>
      <c r="B101" s="53"/>
      <c r="C101" s="54"/>
      <c r="D101" s="54"/>
      <c r="E101" s="54"/>
      <c r="F101" s="43"/>
      <c r="G101" s="55"/>
    </row>
    <row r="102">
      <c r="A102" s="52"/>
      <c r="B102" s="53"/>
      <c r="C102" s="54"/>
      <c r="D102" s="54"/>
      <c r="E102" s="54"/>
      <c r="F102" s="43"/>
      <c r="G102" s="55"/>
    </row>
    <row r="103">
      <c r="A103" s="52"/>
      <c r="B103" s="53"/>
      <c r="C103" s="54"/>
      <c r="D103" s="54"/>
      <c r="E103" s="54"/>
      <c r="F103" s="43"/>
      <c r="G103" s="55"/>
    </row>
    <row r="104">
      <c r="A104" s="52"/>
      <c r="B104" s="53"/>
      <c r="C104" s="54"/>
      <c r="D104" s="54"/>
      <c r="E104" s="54"/>
      <c r="F104" s="43"/>
      <c r="G104" s="55"/>
    </row>
    <row r="105">
      <c r="A105" s="52"/>
      <c r="B105" s="53"/>
      <c r="C105" s="54"/>
      <c r="D105" s="54"/>
      <c r="E105" s="54"/>
      <c r="F105" s="43"/>
      <c r="G105" s="55"/>
    </row>
    <row r="106">
      <c r="A106" s="52"/>
      <c r="B106" s="53"/>
      <c r="C106" s="54"/>
      <c r="D106" s="54"/>
      <c r="E106" s="54"/>
      <c r="F106" s="43"/>
      <c r="G106" s="55"/>
    </row>
    <row r="107">
      <c r="A107" s="52"/>
      <c r="B107" s="53"/>
      <c r="C107" s="54"/>
      <c r="D107" s="54"/>
      <c r="E107" s="54"/>
      <c r="F107" s="43"/>
      <c r="G107" s="55"/>
    </row>
    <row r="108">
      <c r="A108" s="52"/>
      <c r="B108" s="53"/>
      <c r="C108" s="54"/>
      <c r="D108" s="54"/>
      <c r="E108" s="54"/>
      <c r="F108" s="43"/>
      <c r="G108" s="55"/>
    </row>
    <row r="109">
      <c r="A109" s="52"/>
      <c r="B109" s="53"/>
      <c r="C109" s="54"/>
      <c r="D109" s="54"/>
      <c r="E109" s="54"/>
      <c r="F109" s="43"/>
      <c r="G109" s="55"/>
    </row>
    <row r="110">
      <c r="A110" s="52"/>
      <c r="B110" s="53"/>
      <c r="C110" s="54"/>
      <c r="D110" s="54"/>
      <c r="E110" s="54"/>
      <c r="F110" s="43"/>
      <c r="G110" s="55"/>
    </row>
    <row r="111">
      <c r="A111" s="52"/>
      <c r="B111" s="53"/>
      <c r="C111" s="54"/>
      <c r="D111" s="54"/>
      <c r="E111" s="54"/>
      <c r="F111" s="43"/>
      <c r="G111" s="55"/>
    </row>
    <row r="112">
      <c r="A112" s="52"/>
      <c r="B112" s="53"/>
      <c r="C112" s="54"/>
      <c r="D112" s="54"/>
      <c r="E112" s="54"/>
      <c r="F112" s="43"/>
      <c r="G112" s="55"/>
    </row>
    <row r="113">
      <c r="A113" s="52"/>
      <c r="B113" s="53"/>
      <c r="C113" s="54"/>
      <c r="D113" s="54"/>
      <c r="E113" s="54"/>
      <c r="F113" s="43"/>
      <c r="G113" s="55"/>
    </row>
    <row r="114">
      <c r="A114" s="52"/>
      <c r="B114" s="53"/>
      <c r="C114" s="54"/>
      <c r="D114" s="54"/>
      <c r="E114" s="54"/>
      <c r="F114" s="43"/>
      <c r="G114" s="55"/>
    </row>
    <row r="115">
      <c r="A115" s="52"/>
      <c r="B115" s="53"/>
      <c r="C115" s="54"/>
      <c r="D115" s="54"/>
      <c r="E115" s="54"/>
      <c r="F115" s="43"/>
      <c r="G115" s="55"/>
    </row>
    <row r="116">
      <c r="A116" s="52"/>
      <c r="B116" s="53"/>
      <c r="C116" s="54"/>
      <c r="D116" s="54"/>
      <c r="E116" s="54"/>
      <c r="F116" s="43"/>
      <c r="G116" s="55"/>
    </row>
    <row r="117">
      <c r="A117" s="52"/>
      <c r="B117" s="53"/>
      <c r="C117" s="54"/>
      <c r="D117" s="54"/>
      <c r="E117" s="54"/>
      <c r="F117" s="43"/>
      <c r="G117" s="55"/>
    </row>
    <row r="118">
      <c r="A118" s="52"/>
      <c r="B118" s="53"/>
      <c r="C118" s="54"/>
      <c r="D118" s="54"/>
      <c r="E118" s="54"/>
      <c r="F118" s="43"/>
      <c r="G118" s="55"/>
    </row>
    <row r="119">
      <c r="A119" s="52"/>
      <c r="B119" s="53"/>
      <c r="C119" s="54"/>
      <c r="D119" s="54"/>
      <c r="E119" s="54"/>
      <c r="F119" s="43"/>
      <c r="G119" s="55"/>
    </row>
    <row r="120">
      <c r="A120" s="52"/>
      <c r="B120" s="53"/>
      <c r="C120" s="54"/>
      <c r="D120" s="54"/>
      <c r="E120" s="54"/>
      <c r="F120" s="43"/>
      <c r="G120" s="55"/>
    </row>
    <row r="121">
      <c r="A121" s="52"/>
      <c r="B121" s="53"/>
      <c r="C121" s="54"/>
      <c r="D121" s="54"/>
      <c r="E121" s="54"/>
      <c r="F121" s="43"/>
      <c r="G121" s="55"/>
    </row>
    <row r="122">
      <c r="A122" s="52"/>
      <c r="B122" s="53"/>
      <c r="C122" s="54"/>
      <c r="D122" s="54"/>
      <c r="E122" s="54"/>
      <c r="F122" s="43"/>
      <c r="G122" s="55"/>
    </row>
    <row r="123">
      <c r="A123" s="52"/>
      <c r="B123" s="53"/>
      <c r="C123" s="54"/>
      <c r="D123" s="54"/>
      <c r="E123" s="54"/>
      <c r="F123" s="43"/>
      <c r="G123" s="55"/>
    </row>
    <row r="124">
      <c r="A124" s="52"/>
      <c r="B124" s="53"/>
      <c r="C124" s="54"/>
      <c r="D124" s="54"/>
      <c r="E124" s="54"/>
      <c r="F124" s="43"/>
      <c r="G124" s="55"/>
    </row>
    <row r="125">
      <c r="A125" s="52"/>
      <c r="B125" s="53"/>
      <c r="C125" s="54"/>
      <c r="D125" s="54"/>
      <c r="E125" s="54"/>
      <c r="F125" s="43"/>
      <c r="G125" s="55"/>
    </row>
    <row r="126">
      <c r="A126" s="52"/>
      <c r="B126" s="53"/>
      <c r="C126" s="54"/>
      <c r="D126" s="54"/>
      <c r="E126" s="54"/>
      <c r="F126" s="43"/>
      <c r="G126" s="55"/>
    </row>
    <row r="127">
      <c r="A127" s="52"/>
      <c r="B127" s="53"/>
      <c r="C127" s="54"/>
      <c r="D127" s="54"/>
      <c r="E127" s="54"/>
      <c r="F127" s="43"/>
      <c r="G127" s="55"/>
    </row>
    <row r="128">
      <c r="A128" s="52"/>
      <c r="B128" s="53"/>
      <c r="C128" s="54"/>
      <c r="D128" s="54"/>
      <c r="E128" s="54"/>
      <c r="F128" s="43"/>
      <c r="G128" s="55"/>
    </row>
    <row r="129">
      <c r="A129" s="52"/>
      <c r="B129" s="53"/>
      <c r="C129" s="54"/>
      <c r="D129" s="54"/>
      <c r="E129" s="54"/>
      <c r="F129" s="43"/>
      <c r="G129" s="55"/>
    </row>
    <row r="130">
      <c r="A130" s="52"/>
      <c r="B130" s="53"/>
      <c r="C130" s="54"/>
      <c r="D130" s="54"/>
      <c r="E130" s="54"/>
      <c r="F130" s="43"/>
      <c r="G130" s="55"/>
    </row>
    <row r="131">
      <c r="A131" s="52"/>
      <c r="B131" s="53"/>
      <c r="C131" s="54"/>
      <c r="D131" s="54"/>
      <c r="E131" s="54"/>
      <c r="F131" s="43"/>
      <c r="G131" s="55"/>
    </row>
    <row r="132">
      <c r="A132" s="52"/>
      <c r="B132" s="53"/>
      <c r="C132" s="54"/>
      <c r="D132" s="54"/>
      <c r="E132" s="54"/>
      <c r="F132" s="43"/>
      <c r="G132" s="55"/>
    </row>
    <row r="133">
      <c r="A133" s="52"/>
      <c r="B133" s="53"/>
      <c r="C133" s="54"/>
      <c r="D133" s="54"/>
      <c r="E133" s="54"/>
      <c r="F133" s="43"/>
      <c r="G133" s="55"/>
    </row>
    <row r="134">
      <c r="A134" s="52"/>
      <c r="B134" s="53"/>
      <c r="C134" s="54"/>
      <c r="D134" s="54"/>
      <c r="E134" s="54"/>
      <c r="F134" s="43"/>
      <c r="G134" s="55"/>
    </row>
    <row r="135">
      <c r="A135" s="52"/>
      <c r="B135" s="53"/>
      <c r="C135" s="54"/>
      <c r="D135" s="54"/>
      <c r="E135" s="54"/>
      <c r="F135" s="43"/>
      <c r="G135" s="55"/>
    </row>
    <row r="136">
      <c r="A136" s="52"/>
      <c r="B136" s="53"/>
      <c r="C136" s="54"/>
      <c r="D136" s="54"/>
      <c r="E136" s="54"/>
      <c r="F136" s="43"/>
      <c r="G136" s="55"/>
    </row>
    <row r="137">
      <c r="A137" s="52"/>
      <c r="B137" s="53"/>
      <c r="C137" s="54"/>
      <c r="D137" s="54"/>
      <c r="E137" s="54"/>
      <c r="F137" s="43"/>
      <c r="G137" s="55"/>
    </row>
    <row r="138">
      <c r="A138" s="52"/>
      <c r="B138" s="53"/>
      <c r="C138" s="54"/>
      <c r="D138" s="54"/>
      <c r="E138" s="54"/>
      <c r="F138" s="43"/>
      <c r="G138" s="55"/>
    </row>
    <row r="139">
      <c r="A139" s="52"/>
      <c r="B139" s="53"/>
      <c r="C139" s="54"/>
      <c r="D139" s="54"/>
      <c r="E139" s="54"/>
      <c r="F139" s="43"/>
      <c r="G139" s="55"/>
    </row>
    <row r="140">
      <c r="A140" s="52"/>
      <c r="B140" s="53"/>
      <c r="C140" s="54"/>
      <c r="D140" s="54"/>
      <c r="E140" s="54"/>
      <c r="F140" s="43"/>
      <c r="G140" s="55"/>
    </row>
    <row r="141">
      <c r="A141" s="52"/>
      <c r="B141" s="53"/>
      <c r="C141" s="54"/>
      <c r="D141" s="54"/>
      <c r="E141" s="54"/>
      <c r="F141" s="43"/>
      <c r="G141" s="55"/>
    </row>
    <row r="142">
      <c r="A142" s="52"/>
      <c r="B142" s="53"/>
      <c r="C142" s="54"/>
      <c r="D142" s="54"/>
      <c r="E142" s="54"/>
      <c r="F142" s="43"/>
      <c r="G142" s="55"/>
    </row>
    <row r="143">
      <c r="A143" s="52"/>
      <c r="B143" s="53"/>
      <c r="C143" s="54"/>
      <c r="D143" s="54"/>
      <c r="E143" s="54"/>
      <c r="F143" s="43"/>
      <c r="G143" s="55"/>
    </row>
    <row r="144">
      <c r="A144" s="52"/>
      <c r="B144" s="53"/>
      <c r="C144" s="54"/>
      <c r="D144" s="54"/>
      <c r="E144" s="54"/>
      <c r="F144" s="43"/>
      <c r="G144" s="55"/>
    </row>
    <row r="145">
      <c r="A145" s="52"/>
      <c r="B145" s="53"/>
      <c r="C145" s="54"/>
      <c r="D145" s="54"/>
      <c r="E145" s="54"/>
      <c r="F145" s="43"/>
      <c r="G145" s="55"/>
    </row>
    <row r="146">
      <c r="A146" s="52"/>
      <c r="B146" s="53"/>
      <c r="C146" s="54"/>
      <c r="D146" s="54"/>
      <c r="E146" s="54"/>
      <c r="F146" s="43"/>
      <c r="G146" s="55"/>
    </row>
    <row r="147">
      <c r="A147" s="52"/>
      <c r="B147" s="53"/>
      <c r="C147" s="54"/>
      <c r="D147" s="54"/>
      <c r="E147" s="54"/>
      <c r="F147" s="43"/>
      <c r="G147" s="55"/>
    </row>
    <row r="148">
      <c r="A148" s="52"/>
      <c r="B148" s="53"/>
      <c r="C148" s="54"/>
      <c r="D148" s="54"/>
      <c r="E148" s="54"/>
      <c r="F148" s="43"/>
      <c r="G148" s="55"/>
    </row>
    <row r="149">
      <c r="A149" s="52"/>
      <c r="B149" s="53"/>
      <c r="C149" s="54"/>
      <c r="D149" s="54"/>
      <c r="E149" s="54"/>
      <c r="F149" s="43"/>
      <c r="G149" s="55"/>
    </row>
    <row r="150">
      <c r="A150" s="52"/>
      <c r="B150" s="53"/>
      <c r="C150" s="54"/>
      <c r="D150" s="54"/>
      <c r="E150" s="54"/>
      <c r="F150" s="43"/>
      <c r="G150" s="55"/>
    </row>
    <row r="151">
      <c r="A151" s="52"/>
      <c r="B151" s="53"/>
      <c r="C151" s="54"/>
      <c r="D151" s="54"/>
      <c r="E151" s="54"/>
      <c r="F151" s="43"/>
      <c r="G151" s="55"/>
    </row>
    <row r="152">
      <c r="A152" s="52"/>
      <c r="B152" s="53"/>
      <c r="C152" s="54"/>
      <c r="D152" s="54"/>
      <c r="E152" s="54"/>
      <c r="F152" s="43"/>
      <c r="G152" s="55"/>
    </row>
    <row r="153">
      <c r="A153" s="52"/>
      <c r="B153" s="53"/>
      <c r="C153" s="54"/>
      <c r="D153" s="54"/>
      <c r="E153" s="54"/>
      <c r="F153" s="43"/>
      <c r="G153" s="55"/>
    </row>
    <row r="154">
      <c r="A154" s="52"/>
      <c r="B154" s="53"/>
      <c r="C154" s="54"/>
      <c r="D154" s="54"/>
      <c r="E154" s="54"/>
      <c r="F154" s="43"/>
      <c r="G154" s="55"/>
    </row>
    <row r="155">
      <c r="A155" s="52"/>
      <c r="B155" s="53"/>
      <c r="C155" s="54"/>
      <c r="D155" s="54"/>
      <c r="E155" s="54"/>
      <c r="F155" s="43"/>
      <c r="G155" s="55"/>
    </row>
    <row r="156">
      <c r="A156" s="52"/>
      <c r="B156" s="53"/>
      <c r="C156" s="54"/>
      <c r="D156" s="54"/>
      <c r="E156" s="54"/>
      <c r="F156" s="43"/>
      <c r="G156" s="55"/>
    </row>
    <row r="157">
      <c r="A157" s="52"/>
      <c r="B157" s="53"/>
      <c r="C157" s="54"/>
      <c r="D157" s="54"/>
      <c r="E157" s="54"/>
      <c r="F157" s="43"/>
      <c r="G157" s="55"/>
    </row>
    <row r="158">
      <c r="A158" s="52"/>
      <c r="B158" s="53"/>
      <c r="C158" s="54"/>
      <c r="D158" s="54"/>
      <c r="E158" s="54"/>
      <c r="F158" s="43"/>
      <c r="G158" s="55"/>
    </row>
    <row r="159">
      <c r="A159" s="52"/>
      <c r="B159" s="53"/>
      <c r="C159" s="54"/>
      <c r="D159" s="54"/>
      <c r="E159" s="54"/>
      <c r="F159" s="43"/>
      <c r="G159" s="55"/>
    </row>
    <row r="160">
      <c r="A160" s="52"/>
      <c r="B160" s="53"/>
      <c r="C160" s="54"/>
      <c r="D160" s="54"/>
      <c r="E160" s="54"/>
      <c r="F160" s="43"/>
      <c r="G160" s="55"/>
    </row>
    <row r="161">
      <c r="A161" s="52"/>
      <c r="B161" s="53"/>
      <c r="C161" s="54"/>
      <c r="D161" s="54"/>
      <c r="E161" s="54"/>
      <c r="F161" s="43"/>
      <c r="G161" s="55"/>
    </row>
    <row r="162">
      <c r="A162" s="52"/>
      <c r="B162" s="53"/>
      <c r="C162" s="54"/>
      <c r="D162" s="54"/>
      <c r="E162" s="54"/>
      <c r="F162" s="43"/>
      <c r="G162" s="55"/>
    </row>
    <row r="163">
      <c r="A163" s="52"/>
      <c r="B163" s="53"/>
      <c r="C163" s="54"/>
      <c r="D163" s="54"/>
      <c r="E163" s="54"/>
      <c r="F163" s="43"/>
      <c r="G163" s="55"/>
    </row>
    <row r="164">
      <c r="A164" s="52"/>
      <c r="B164" s="53"/>
      <c r="C164" s="54"/>
      <c r="D164" s="54"/>
      <c r="E164" s="54"/>
      <c r="F164" s="43"/>
      <c r="G164" s="55"/>
    </row>
    <row r="165">
      <c r="A165" s="52"/>
      <c r="B165" s="53"/>
      <c r="C165" s="54"/>
      <c r="D165" s="54"/>
      <c r="E165" s="54"/>
      <c r="F165" s="43"/>
      <c r="G165" s="55"/>
    </row>
    <row r="166">
      <c r="A166" s="52"/>
      <c r="B166" s="53"/>
      <c r="C166" s="54"/>
      <c r="D166" s="54"/>
      <c r="E166" s="54"/>
      <c r="F166" s="43"/>
      <c r="G166" s="55"/>
    </row>
    <row r="167">
      <c r="A167" s="52"/>
      <c r="B167" s="53"/>
      <c r="C167" s="54"/>
      <c r="D167" s="54"/>
      <c r="E167" s="54"/>
      <c r="F167" s="43"/>
      <c r="G167" s="55"/>
    </row>
    <row r="168">
      <c r="A168" s="52"/>
      <c r="B168" s="53"/>
      <c r="C168" s="54"/>
      <c r="D168" s="54"/>
      <c r="E168" s="54"/>
      <c r="F168" s="43"/>
      <c r="G168" s="55"/>
    </row>
    <row r="169">
      <c r="A169" s="52"/>
      <c r="B169" s="53"/>
      <c r="C169" s="54"/>
      <c r="D169" s="54"/>
      <c r="E169" s="54"/>
      <c r="F169" s="43"/>
      <c r="G169" s="55"/>
    </row>
    <row r="170">
      <c r="A170" s="52"/>
      <c r="B170" s="53"/>
      <c r="C170" s="54"/>
      <c r="D170" s="54"/>
      <c r="E170" s="54"/>
      <c r="F170" s="43"/>
      <c r="G170" s="55"/>
    </row>
    <row r="171">
      <c r="A171" s="52"/>
      <c r="B171" s="53"/>
      <c r="C171" s="54"/>
      <c r="D171" s="54"/>
      <c r="E171" s="54"/>
      <c r="F171" s="43"/>
      <c r="G171" s="55"/>
    </row>
    <row r="172">
      <c r="A172" s="52"/>
      <c r="B172" s="53"/>
      <c r="C172" s="54"/>
      <c r="D172" s="54"/>
      <c r="E172" s="54"/>
      <c r="F172" s="43"/>
      <c r="G172" s="55"/>
    </row>
    <row r="173">
      <c r="A173" s="52"/>
      <c r="B173" s="53"/>
      <c r="C173" s="54"/>
      <c r="D173" s="54"/>
      <c r="E173" s="54"/>
      <c r="F173" s="43"/>
      <c r="G173" s="55"/>
    </row>
    <row r="174">
      <c r="A174" s="52"/>
      <c r="B174" s="53"/>
      <c r="C174" s="54"/>
      <c r="D174" s="54"/>
      <c r="E174" s="54"/>
      <c r="F174" s="43"/>
      <c r="G174" s="55"/>
    </row>
    <row r="175">
      <c r="A175" s="52"/>
      <c r="B175" s="53"/>
      <c r="C175" s="54"/>
      <c r="D175" s="54"/>
      <c r="E175" s="54"/>
      <c r="F175" s="43"/>
      <c r="G175" s="55"/>
    </row>
    <row r="176">
      <c r="A176" s="52"/>
      <c r="B176" s="53"/>
      <c r="C176" s="54"/>
      <c r="D176" s="54"/>
      <c r="E176" s="54"/>
      <c r="F176" s="43"/>
      <c r="G176" s="55"/>
    </row>
    <row r="177">
      <c r="A177" s="52"/>
      <c r="B177" s="53"/>
      <c r="C177" s="54"/>
      <c r="D177" s="54"/>
      <c r="E177" s="54"/>
      <c r="F177" s="43"/>
      <c r="G177" s="55"/>
    </row>
    <row r="178">
      <c r="A178" s="52"/>
      <c r="B178" s="53"/>
      <c r="C178" s="54"/>
      <c r="D178" s="54"/>
      <c r="E178" s="54"/>
      <c r="F178" s="43"/>
      <c r="G178" s="55"/>
    </row>
    <row r="179">
      <c r="A179" s="52"/>
      <c r="B179" s="53"/>
      <c r="C179" s="54"/>
      <c r="D179" s="54"/>
      <c r="E179" s="54"/>
      <c r="F179" s="43"/>
      <c r="G179" s="55"/>
    </row>
    <row r="180">
      <c r="A180" s="52"/>
      <c r="B180" s="53"/>
      <c r="C180" s="54"/>
      <c r="D180" s="54"/>
      <c r="E180" s="54"/>
      <c r="F180" s="43"/>
      <c r="G180" s="55"/>
    </row>
    <row r="181">
      <c r="A181" s="52"/>
      <c r="B181" s="53"/>
      <c r="C181" s="54"/>
      <c r="D181" s="54"/>
      <c r="E181" s="54"/>
      <c r="F181" s="43"/>
      <c r="G181" s="55"/>
    </row>
    <row r="182">
      <c r="A182" s="52"/>
      <c r="B182" s="53"/>
      <c r="C182" s="54"/>
      <c r="D182" s="54"/>
      <c r="E182" s="54"/>
      <c r="F182" s="43"/>
      <c r="G182" s="55"/>
    </row>
    <row r="183">
      <c r="A183" s="52"/>
      <c r="B183" s="53"/>
      <c r="C183" s="54"/>
      <c r="D183" s="54"/>
      <c r="E183" s="54"/>
      <c r="F183" s="43"/>
      <c r="G183" s="55"/>
    </row>
    <row r="184">
      <c r="A184" s="52"/>
      <c r="B184" s="53"/>
      <c r="C184" s="54"/>
      <c r="D184" s="54"/>
      <c r="E184" s="54"/>
      <c r="F184" s="43"/>
      <c r="G184" s="55"/>
    </row>
    <row r="185">
      <c r="A185" s="52"/>
      <c r="B185" s="53"/>
      <c r="C185" s="54"/>
      <c r="D185" s="54"/>
      <c r="E185" s="54"/>
      <c r="F185" s="43"/>
      <c r="G185" s="55"/>
    </row>
    <row r="186">
      <c r="A186" s="52"/>
      <c r="B186" s="53"/>
      <c r="C186" s="54"/>
      <c r="D186" s="54"/>
      <c r="E186" s="54"/>
      <c r="F186" s="43"/>
      <c r="G186" s="55"/>
    </row>
    <row r="187">
      <c r="A187" s="52"/>
      <c r="B187" s="53"/>
      <c r="C187" s="54"/>
      <c r="D187" s="54"/>
      <c r="E187" s="54"/>
      <c r="F187" s="43"/>
      <c r="G187" s="55"/>
    </row>
    <row r="188">
      <c r="A188" s="52"/>
      <c r="B188" s="53"/>
      <c r="C188" s="54"/>
      <c r="D188" s="54"/>
      <c r="E188" s="54"/>
      <c r="F188" s="43"/>
      <c r="G188" s="55"/>
    </row>
    <row r="189">
      <c r="A189" s="52"/>
      <c r="B189" s="53"/>
      <c r="C189" s="54"/>
      <c r="D189" s="54"/>
      <c r="E189" s="54"/>
      <c r="F189" s="43"/>
      <c r="G189" s="55"/>
    </row>
    <row r="190">
      <c r="A190" s="52"/>
      <c r="B190" s="53"/>
      <c r="C190" s="54"/>
      <c r="D190" s="54"/>
      <c r="E190" s="54"/>
      <c r="F190" s="43"/>
      <c r="G190" s="55"/>
    </row>
    <row r="191">
      <c r="A191" s="52"/>
      <c r="B191" s="53"/>
      <c r="C191" s="54"/>
      <c r="D191" s="54"/>
      <c r="E191" s="54"/>
      <c r="F191" s="43"/>
      <c r="G191" s="55"/>
    </row>
    <row r="192">
      <c r="A192" s="52"/>
      <c r="B192" s="53"/>
      <c r="C192" s="54"/>
      <c r="D192" s="54"/>
      <c r="E192" s="54"/>
      <c r="F192" s="43"/>
      <c r="G192" s="55"/>
    </row>
    <row r="193">
      <c r="A193" s="52"/>
      <c r="B193" s="53"/>
      <c r="C193" s="54"/>
      <c r="D193" s="54"/>
      <c r="E193" s="54"/>
      <c r="F193" s="43"/>
      <c r="G193" s="55"/>
    </row>
    <row r="194">
      <c r="A194" s="52"/>
      <c r="B194" s="53"/>
      <c r="C194" s="54"/>
      <c r="D194" s="54"/>
      <c r="E194" s="54"/>
      <c r="F194" s="43"/>
      <c r="G194" s="55"/>
    </row>
    <row r="195">
      <c r="A195" s="52"/>
      <c r="B195" s="53"/>
      <c r="C195" s="54"/>
      <c r="D195" s="54"/>
      <c r="E195" s="54"/>
      <c r="F195" s="43"/>
      <c r="G195" s="55"/>
    </row>
    <row r="196">
      <c r="A196" s="52"/>
      <c r="B196" s="53"/>
      <c r="C196" s="54"/>
      <c r="D196" s="54"/>
      <c r="E196" s="54"/>
      <c r="F196" s="43"/>
      <c r="G196" s="55"/>
    </row>
    <row r="197">
      <c r="A197" s="52"/>
      <c r="B197" s="53"/>
      <c r="C197" s="54"/>
      <c r="D197" s="54"/>
      <c r="E197" s="54"/>
      <c r="F197" s="43"/>
      <c r="G197" s="55"/>
    </row>
    <row r="198">
      <c r="A198" s="52"/>
      <c r="B198" s="53"/>
      <c r="C198" s="54"/>
      <c r="D198" s="54"/>
      <c r="E198" s="54"/>
      <c r="F198" s="43"/>
      <c r="G198" s="55"/>
    </row>
    <row r="199">
      <c r="A199" s="52"/>
      <c r="B199" s="53"/>
      <c r="C199" s="54"/>
      <c r="D199" s="54"/>
      <c r="E199" s="54"/>
      <c r="F199" s="43"/>
      <c r="G199" s="55"/>
    </row>
    <row r="200">
      <c r="A200" s="52"/>
      <c r="B200" s="53"/>
      <c r="C200" s="54"/>
      <c r="D200" s="54"/>
      <c r="E200" s="54"/>
      <c r="F200" s="43"/>
      <c r="G200" s="55"/>
    </row>
    <row r="201">
      <c r="A201" s="52"/>
      <c r="B201" s="53"/>
      <c r="C201" s="54"/>
      <c r="D201" s="54"/>
      <c r="E201" s="54"/>
      <c r="F201" s="43"/>
      <c r="G201" s="55"/>
    </row>
    <row r="202">
      <c r="A202" s="52"/>
      <c r="B202" s="53"/>
      <c r="C202" s="54"/>
      <c r="D202" s="54"/>
      <c r="E202" s="54"/>
      <c r="F202" s="43"/>
      <c r="G202" s="55"/>
    </row>
    <row r="203">
      <c r="A203" s="52"/>
      <c r="B203" s="53"/>
      <c r="C203" s="54"/>
      <c r="D203" s="54"/>
      <c r="E203" s="54"/>
      <c r="F203" s="43"/>
      <c r="G203" s="55"/>
    </row>
    <row r="204">
      <c r="A204" s="52"/>
      <c r="B204" s="53"/>
      <c r="C204" s="54"/>
      <c r="D204" s="54"/>
      <c r="E204" s="54"/>
      <c r="F204" s="43"/>
      <c r="G204" s="55"/>
    </row>
    <row r="205">
      <c r="A205" s="52"/>
      <c r="B205" s="53"/>
      <c r="C205" s="54"/>
      <c r="D205" s="54"/>
      <c r="E205" s="54"/>
      <c r="F205" s="43"/>
      <c r="G205" s="55"/>
    </row>
    <row r="206">
      <c r="A206" s="52"/>
      <c r="B206" s="53"/>
      <c r="C206" s="54"/>
      <c r="D206" s="54"/>
      <c r="E206" s="54"/>
      <c r="F206" s="43"/>
      <c r="G206" s="55"/>
    </row>
    <row r="207">
      <c r="A207" s="52"/>
      <c r="B207" s="53"/>
      <c r="C207" s="54"/>
      <c r="D207" s="54"/>
      <c r="E207" s="54"/>
      <c r="F207" s="43"/>
      <c r="G207" s="55"/>
    </row>
    <row r="208">
      <c r="A208" s="52"/>
      <c r="B208" s="53"/>
      <c r="C208" s="54"/>
      <c r="D208" s="54"/>
      <c r="E208" s="54"/>
      <c r="F208" s="43"/>
      <c r="G208" s="55"/>
    </row>
    <row r="209">
      <c r="A209" s="52"/>
      <c r="B209" s="53"/>
      <c r="C209" s="54"/>
      <c r="D209" s="54"/>
      <c r="E209" s="54"/>
      <c r="F209" s="43"/>
      <c r="G209" s="55"/>
    </row>
    <row r="210">
      <c r="A210" s="52"/>
      <c r="B210" s="53"/>
      <c r="C210" s="54"/>
      <c r="D210" s="54"/>
      <c r="E210" s="54"/>
      <c r="F210" s="43"/>
      <c r="G210" s="55"/>
    </row>
    <row r="211">
      <c r="A211" s="52"/>
      <c r="B211" s="53"/>
      <c r="C211" s="54"/>
      <c r="D211" s="54"/>
      <c r="E211" s="54"/>
      <c r="F211" s="43"/>
      <c r="G211" s="55"/>
    </row>
    <row r="212">
      <c r="A212" s="52"/>
      <c r="B212" s="53"/>
      <c r="C212" s="54"/>
      <c r="D212" s="54"/>
      <c r="E212" s="54"/>
      <c r="F212" s="43"/>
      <c r="G212" s="55"/>
    </row>
    <row r="213">
      <c r="A213" s="52"/>
      <c r="B213" s="53"/>
      <c r="C213" s="54"/>
      <c r="D213" s="54"/>
      <c r="E213" s="54"/>
      <c r="F213" s="43"/>
      <c r="G213" s="55"/>
    </row>
    <row r="214">
      <c r="A214" s="52"/>
      <c r="B214" s="53"/>
      <c r="C214" s="54"/>
      <c r="D214" s="54"/>
      <c r="E214" s="54"/>
      <c r="F214" s="43"/>
      <c r="G214" s="55"/>
    </row>
    <row r="215">
      <c r="A215" s="52"/>
      <c r="B215" s="53"/>
      <c r="C215" s="54"/>
      <c r="D215" s="54"/>
      <c r="E215" s="54"/>
      <c r="F215" s="43"/>
      <c r="G215" s="55"/>
    </row>
    <row r="216">
      <c r="A216" s="52"/>
      <c r="B216" s="53"/>
      <c r="C216" s="54"/>
      <c r="D216" s="54"/>
      <c r="E216" s="54"/>
      <c r="F216" s="43"/>
      <c r="G216" s="55"/>
    </row>
    <row r="217">
      <c r="A217" s="52"/>
      <c r="B217" s="53"/>
      <c r="C217" s="54"/>
      <c r="D217" s="54"/>
      <c r="E217" s="54"/>
      <c r="F217" s="43"/>
      <c r="G217" s="55"/>
    </row>
    <row r="218">
      <c r="A218" s="52"/>
      <c r="B218" s="53"/>
      <c r="C218" s="54"/>
      <c r="D218" s="54"/>
      <c r="E218" s="54"/>
      <c r="F218" s="43"/>
      <c r="G218" s="55"/>
    </row>
    <row r="219">
      <c r="A219" s="52"/>
      <c r="B219" s="53"/>
      <c r="C219" s="54"/>
      <c r="D219" s="54"/>
      <c r="E219" s="54"/>
      <c r="F219" s="43"/>
      <c r="G219" s="55"/>
    </row>
    <row r="220">
      <c r="A220" s="52"/>
      <c r="B220" s="53"/>
      <c r="C220" s="54"/>
      <c r="D220" s="54"/>
      <c r="E220" s="54"/>
      <c r="F220" s="43"/>
      <c r="G220" s="55"/>
    </row>
    <row r="221">
      <c r="A221" s="52"/>
      <c r="B221" s="53"/>
      <c r="C221" s="54"/>
      <c r="D221" s="54"/>
      <c r="E221" s="54"/>
      <c r="F221" s="43"/>
      <c r="G221" s="55"/>
    </row>
    <row r="222">
      <c r="A222" s="52"/>
      <c r="B222" s="53"/>
      <c r="C222" s="54"/>
      <c r="D222" s="54"/>
      <c r="E222" s="54"/>
      <c r="F222" s="43"/>
      <c r="G222" s="55"/>
    </row>
    <row r="223">
      <c r="A223" s="52"/>
      <c r="B223" s="53"/>
      <c r="C223" s="54"/>
      <c r="D223" s="54"/>
      <c r="E223" s="54"/>
      <c r="F223" s="43"/>
      <c r="G223" s="55"/>
    </row>
    <row r="224">
      <c r="A224" s="52"/>
      <c r="B224" s="53"/>
      <c r="C224" s="54"/>
      <c r="D224" s="54"/>
      <c r="E224" s="54"/>
      <c r="F224" s="43"/>
      <c r="G224" s="55"/>
    </row>
    <row r="225">
      <c r="A225" s="52"/>
      <c r="B225" s="53"/>
      <c r="C225" s="54"/>
      <c r="D225" s="54"/>
      <c r="E225" s="54"/>
      <c r="F225" s="43"/>
      <c r="G225" s="55"/>
    </row>
    <row r="226">
      <c r="A226" s="52"/>
      <c r="B226" s="53"/>
      <c r="C226" s="54"/>
      <c r="D226" s="54"/>
      <c r="E226" s="54"/>
      <c r="F226" s="43"/>
      <c r="G226" s="55"/>
    </row>
    <row r="227">
      <c r="A227" s="52"/>
      <c r="B227" s="53"/>
      <c r="C227" s="54"/>
      <c r="D227" s="54"/>
      <c r="E227" s="54"/>
      <c r="F227" s="43"/>
      <c r="G227" s="55"/>
    </row>
    <row r="228">
      <c r="A228" s="52"/>
      <c r="B228" s="53"/>
      <c r="C228" s="54"/>
      <c r="D228" s="54"/>
      <c r="E228" s="54"/>
      <c r="F228" s="43"/>
      <c r="G228" s="55"/>
    </row>
    <row r="229">
      <c r="A229" s="52"/>
      <c r="B229" s="53"/>
      <c r="C229" s="54"/>
      <c r="D229" s="54"/>
      <c r="E229" s="54"/>
      <c r="F229" s="43"/>
      <c r="G229" s="55"/>
    </row>
    <row r="230">
      <c r="A230" s="52"/>
      <c r="B230" s="53"/>
      <c r="C230" s="54"/>
      <c r="D230" s="54"/>
      <c r="E230" s="54"/>
      <c r="F230" s="43"/>
      <c r="G230" s="55"/>
    </row>
    <row r="231">
      <c r="A231" s="52"/>
      <c r="B231" s="53"/>
      <c r="C231" s="54"/>
      <c r="D231" s="54"/>
      <c r="E231" s="54"/>
      <c r="F231" s="43"/>
      <c r="G231" s="55"/>
    </row>
    <row r="232">
      <c r="A232" s="52"/>
      <c r="B232" s="53"/>
      <c r="C232" s="54"/>
      <c r="D232" s="54"/>
      <c r="E232" s="54"/>
      <c r="F232" s="43"/>
      <c r="G232" s="55"/>
    </row>
    <row r="233">
      <c r="A233" s="52"/>
      <c r="B233" s="53"/>
      <c r="C233" s="54"/>
      <c r="D233" s="54"/>
      <c r="E233" s="54"/>
      <c r="F233" s="43"/>
      <c r="G233" s="55"/>
    </row>
    <row r="234">
      <c r="A234" s="52"/>
      <c r="B234" s="53"/>
      <c r="C234" s="54"/>
      <c r="D234" s="54"/>
      <c r="E234" s="54"/>
      <c r="F234" s="43"/>
      <c r="G234" s="55"/>
    </row>
    <row r="235">
      <c r="A235" s="52"/>
      <c r="B235" s="53"/>
      <c r="C235" s="54"/>
      <c r="D235" s="54"/>
      <c r="E235" s="54"/>
      <c r="F235" s="43"/>
      <c r="G235" s="55"/>
    </row>
    <row r="236">
      <c r="A236" s="52"/>
      <c r="B236" s="53"/>
      <c r="C236" s="54"/>
      <c r="D236" s="54"/>
      <c r="E236" s="54"/>
      <c r="F236" s="43"/>
      <c r="G236" s="55"/>
    </row>
    <row r="237">
      <c r="A237" s="52"/>
      <c r="B237" s="53"/>
      <c r="C237" s="54"/>
      <c r="D237" s="54"/>
      <c r="E237" s="54"/>
      <c r="F237" s="43"/>
      <c r="G237" s="55"/>
    </row>
    <row r="238">
      <c r="A238" s="52"/>
      <c r="B238" s="53"/>
      <c r="C238" s="54"/>
      <c r="D238" s="54"/>
      <c r="E238" s="54"/>
      <c r="F238" s="43"/>
      <c r="G238" s="55"/>
    </row>
    <row r="239">
      <c r="A239" s="52"/>
      <c r="B239" s="53"/>
      <c r="C239" s="54"/>
      <c r="D239" s="54"/>
      <c r="E239" s="54"/>
      <c r="F239" s="43"/>
      <c r="G239" s="55"/>
    </row>
    <row r="240">
      <c r="A240" s="52"/>
      <c r="B240" s="53"/>
      <c r="C240" s="54"/>
      <c r="D240" s="54"/>
      <c r="E240" s="54"/>
      <c r="F240" s="43"/>
      <c r="G240" s="55"/>
    </row>
    <row r="241">
      <c r="A241" s="52"/>
      <c r="B241" s="53"/>
      <c r="C241" s="54"/>
      <c r="D241" s="54"/>
      <c r="E241" s="54"/>
      <c r="F241" s="43"/>
      <c r="G241" s="55"/>
    </row>
    <row r="242">
      <c r="A242" s="52"/>
      <c r="B242" s="53"/>
      <c r="C242" s="54"/>
      <c r="D242" s="54"/>
      <c r="E242" s="54"/>
      <c r="F242" s="43"/>
      <c r="G242" s="55"/>
    </row>
    <row r="243">
      <c r="A243" s="52"/>
      <c r="B243" s="53"/>
      <c r="C243" s="54"/>
      <c r="D243" s="54"/>
      <c r="E243" s="54"/>
      <c r="F243" s="43"/>
      <c r="G243" s="55"/>
    </row>
    <row r="244">
      <c r="A244" s="52"/>
      <c r="B244" s="53"/>
      <c r="C244" s="54"/>
      <c r="D244" s="54"/>
      <c r="E244" s="54"/>
      <c r="F244" s="43"/>
      <c r="G244" s="55"/>
    </row>
    <row r="245">
      <c r="A245" s="52"/>
      <c r="B245" s="53"/>
      <c r="C245" s="54"/>
      <c r="D245" s="54"/>
      <c r="E245" s="54"/>
      <c r="F245" s="43"/>
      <c r="G245" s="55"/>
    </row>
    <row r="246">
      <c r="A246" s="52"/>
      <c r="B246" s="53"/>
      <c r="C246" s="54"/>
      <c r="D246" s="54"/>
      <c r="E246" s="54"/>
      <c r="F246" s="43"/>
      <c r="G246" s="55"/>
    </row>
    <row r="247">
      <c r="A247" s="52"/>
      <c r="B247" s="53"/>
      <c r="C247" s="54"/>
      <c r="D247" s="54"/>
      <c r="E247" s="54"/>
      <c r="F247" s="43"/>
      <c r="G247" s="55"/>
    </row>
    <row r="248">
      <c r="A248" s="52"/>
      <c r="B248" s="53"/>
      <c r="C248" s="54"/>
      <c r="D248" s="54"/>
      <c r="E248" s="54"/>
      <c r="F248" s="43"/>
      <c r="G248" s="55"/>
    </row>
    <row r="249">
      <c r="A249" s="52"/>
      <c r="B249" s="53"/>
      <c r="C249" s="54"/>
      <c r="D249" s="54"/>
      <c r="E249" s="54"/>
      <c r="F249" s="43"/>
      <c r="G249" s="55"/>
    </row>
    <row r="250">
      <c r="A250" s="52"/>
      <c r="B250" s="53"/>
      <c r="C250" s="54"/>
      <c r="D250" s="54"/>
      <c r="E250" s="54"/>
      <c r="F250" s="43"/>
      <c r="G250" s="55"/>
    </row>
    <row r="251">
      <c r="A251" s="52"/>
      <c r="B251" s="53"/>
      <c r="C251" s="54"/>
      <c r="D251" s="54"/>
      <c r="E251" s="54"/>
      <c r="F251" s="43"/>
      <c r="G251" s="55"/>
    </row>
    <row r="252">
      <c r="A252" s="52"/>
      <c r="B252" s="53"/>
      <c r="C252" s="54"/>
      <c r="D252" s="54"/>
      <c r="E252" s="54"/>
      <c r="F252" s="43"/>
      <c r="G252" s="55"/>
    </row>
    <row r="253">
      <c r="A253" s="52"/>
      <c r="B253" s="53"/>
      <c r="C253" s="54"/>
      <c r="D253" s="54"/>
      <c r="E253" s="54"/>
      <c r="F253" s="43"/>
      <c r="G253" s="55"/>
    </row>
    <row r="254">
      <c r="A254" s="52"/>
      <c r="B254" s="53"/>
      <c r="C254" s="54"/>
      <c r="D254" s="54"/>
      <c r="E254" s="54"/>
      <c r="F254" s="43"/>
      <c r="G254" s="55"/>
    </row>
    <row r="255">
      <c r="A255" s="52"/>
      <c r="B255" s="53"/>
      <c r="C255" s="54"/>
      <c r="D255" s="54"/>
      <c r="E255" s="54"/>
      <c r="F255" s="43"/>
      <c r="G255" s="55"/>
    </row>
    <row r="256">
      <c r="A256" s="52"/>
      <c r="B256" s="53"/>
      <c r="C256" s="54"/>
      <c r="D256" s="54"/>
      <c r="E256" s="54"/>
      <c r="F256" s="43"/>
      <c r="G256" s="55"/>
    </row>
    <row r="257">
      <c r="A257" s="52"/>
      <c r="B257" s="53"/>
      <c r="C257" s="54"/>
      <c r="D257" s="54"/>
      <c r="E257" s="54"/>
      <c r="F257" s="43"/>
      <c r="G257" s="55"/>
    </row>
    <row r="258">
      <c r="A258" s="52"/>
      <c r="B258" s="53"/>
      <c r="C258" s="54"/>
      <c r="D258" s="54"/>
      <c r="E258" s="54"/>
      <c r="F258" s="43"/>
      <c r="G258" s="55"/>
    </row>
    <row r="259">
      <c r="A259" s="52"/>
      <c r="B259" s="53"/>
      <c r="C259" s="54"/>
      <c r="D259" s="54"/>
      <c r="E259" s="54"/>
      <c r="F259" s="43"/>
      <c r="G259" s="55"/>
    </row>
    <row r="260">
      <c r="A260" s="52"/>
      <c r="B260" s="53"/>
      <c r="C260" s="54"/>
      <c r="D260" s="54"/>
      <c r="E260" s="54"/>
      <c r="F260" s="43"/>
      <c r="G260" s="55"/>
    </row>
    <row r="261">
      <c r="A261" s="52"/>
      <c r="B261" s="53"/>
      <c r="C261" s="54"/>
      <c r="D261" s="54"/>
      <c r="E261" s="54"/>
      <c r="F261" s="43"/>
      <c r="G261" s="55"/>
    </row>
    <row r="262">
      <c r="A262" s="52"/>
      <c r="B262" s="53"/>
      <c r="C262" s="54"/>
      <c r="D262" s="54"/>
      <c r="E262" s="54"/>
      <c r="F262" s="43"/>
      <c r="G262" s="55"/>
    </row>
    <row r="263">
      <c r="A263" s="52"/>
      <c r="B263" s="53"/>
      <c r="C263" s="54"/>
      <c r="D263" s="54"/>
      <c r="E263" s="54"/>
      <c r="F263" s="43"/>
      <c r="G263" s="55"/>
    </row>
    <row r="264">
      <c r="A264" s="52"/>
      <c r="B264" s="53"/>
      <c r="C264" s="54"/>
      <c r="D264" s="54"/>
      <c r="E264" s="54"/>
      <c r="F264" s="43"/>
      <c r="G264" s="55"/>
    </row>
    <row r="265">
      <c r="A265" s="52"/>
      <c r="B265" s="53"/>
      <c r="C265" s="54"/>
      <c r="D265" s="54"/>
      <c r="E265" s="54"/>
      <c r="F265" s="43"/>
      <c r="G265" s="55"/>
    </row>
    <row r="266">
      <c r="A266" s="52"/>
      <c r="B266" s="53"/>
      <c r="C266" s="54"/>
      <c r="D266" s="54"/>
      <c r="E266" s="54"/>
      <c r="F266" s="43"/>
      <c r="G266" s="55"/>
    </row>
    <row r="267">
      <c r="A267" s="52"/>
      <c r="B267" s="53"/>
      <c r="C267" s="54"/>
      <c r="D267" s="54"/>
      <c r="E267" s="54"/>
      <c r="F267" s="43"/>
      <c r="G267" s="55"/>
    </row>
    <row r="268">
      <c r="A268" s="52"/>
      <c r="B268" s="53"/>
      <c r="C268" s="54"/>
      <c r="D268" s="54"/>
      <c r="E268" s="54"/>
      <c r="F268" s="43"/>
      <c r="G268" s="55"/>
    </row>
    <row r="269">
      <c r="A269" s="52"/>
      <c r="B269" s="53"/>
      <c r="C269" s="54"/>
      <c r="D269" s="54"/>
      <c r="E269" s="54"/>
      <c r="F269" s="43"/>
      <c r="G269" s="55"/>
    </row>
    <row r="270">
      <c r="A270" s="52"/>
      <c r="B270" s="53"/>
      <c r="C270" s="54"/>
      <c r="D270" s="54"/>
      <c r="E270" s="54"/>
      <c r="F270" s="43"/>
      <c r="G270" s="55"/>
    </row>
    <row r="271">
      <c r="A271" s="52"/>
      <c r="B271" s="53"/>
      <c r="C271" s="54"/>
      <c r="D271" s="54"/>
      <c r="E271" s="54"/>
      <c r="F271" s="43"/>
      <c r="G271" s="55"/>
    </row>
    <row r="272">
      <c r="A272" s="52"/>
      <c r="B272" s="53"/>
      <c r="C272" s="54"/>
      <c r="D272" s="54"/>
      <c r="E272" s="54"/>
      <c r="F272" s="43"/>
      <c r="G272" s="55"/>
    </row>
    <row r="273">
      <c r="A273" s="52"/>
      <c r="B273" s="53"/>
      <c r="C273" s="54"/>
      <c r="D273" s="54"/>
      <c r="E273" s="54"/>
      <c r="F273" s="43"/>
      <c r="G273" s="55"/>
    </row>
    <row r="274">
      <c r="A274" s="52"/>
      <c r="B274" s="53"/>
      <c r="C274" s="54"/>
      <c r="D274" s="54"/>
      <c r="E274" s="54"/>
      <c r="F274" s="43"/>
      <c r="G274" s="55"/>
    </row>
    <row r="275">
      <c r="A275" s="52"/>
      <c r="B275" s="53"/>
      <c r="C275" s="54"/>
      <c r="D275" s="54"/>
      <c r="E275" s="54"/>
      <c r="F275" s="43"/>
      <c r="G275" s="55"/>
    </row>
    <row r="276">
      <c r="A276" s="52"/>
      <c r="B276" s="53"/>
      <c r="C276" s="54"/>
      <c r="D276" s="54"/>
      <c r="E276" s="54"/>
      <c r="F276" s="43"/>
      <c r="G276" s="55"/>
    </row>
    <row r="277">
      <c r="A277" s="52"/>
      <c r="B277" s="53"/>
      <c r="C277" s="54"/>
      <c r="D277" s="54"/>
      <c r="E277" s="54"/>
      <c r="F277" s="43"/>
      <c r="G277" s="55"/>
    </row>
    <row r="278">
      <c r="A278" s="52"/>
      <c r="B278" s="53"/>
      <c r="C278" s="54"/>
      <c r="D278" s="54"/>
      <c r="E278" s="54"/>
      <c r="F278" s="43"/>
      <c r="G278" s="55"/>
    </row>
    <row r="279">
      <c r="A279" s="52"/>
      <c r="B279" s="53"/>
      <c r="C279" s="54"/>
      <c r="D279" s="54"/>
      <c r="E279" s="54"/>
      <c r="F279" s="43"/>
      <c r="G279" s="55"/>
    </row>
    <row r="280">
      <c r="A280" s="52"/>
      <c r="B280" s="53"/>
      <c r="C280" s="54"/>
      <c r="D280" s="54"/>
      <c r="E280" s="54"/>
      <c r="F280" s="43"/>
      <c r="G280" s="55"/>
    </row>
    <row r="281">
      <c r="A281" s="52"/>
      <c r="B281" s="53"/>
      <c r="C281" s="54"/>
      <c r="D281" s="54"/>
      <c r="E281" s="54"/>
      <c r="F281" s="43"/>
      <c r="G281" s="55"/>
    </row>
    <row r="282">
      <c r="A282" s="52"/>
      <c r="B282" s="53"/>
      <c r="C282" s="54"/>
      <c r="D282" s="54"/>
      <c r="E282" s="54"/>
      <c r="F282" s="43"/>
      <c r="G282" s="55"/>
    </row>
    <row r="283">
      <c r="A283" s="52"/>
      <c r="B283" s="53"/>
      <c r="C283" s="54"/>
      <c r="D283" s="54"/>
      <c r="E283" s="54"/>
      <c r="F283" s="43"/>
      <c r="G283" s="55"/>
    </row>
    <row r="284">
      <c r="A284" s="52"/>
      <c r="B284" s="53"/>
      <c r="C284" s="54"/>
      <c r="D284" s="54"/>
      <c r="E284" s="54"/>
      <c r="F284" s="43"/>
      <c r="G284" s="55"/>
    </row>
    <row r="285">
      <c r="A285" s="52"/>
      <c r="B285" s="53"/>
      <c r="C285" s="54"/>
      <c r="D285" s="54"/>
      <c r="E285" s="54"/>
      <c r="F285" s="43"/>
      <c r="G285" s="55"/>
    </row>
    <row r="286">
      <c r="A286" s="52"/>
      <c r="B286" s="53"/>
      <c r="C286" s="54"/>
      <c r="D286" s="54"/>
      <c r="E286" s="54"/>
      <c r="F286" s="43"/>
      <c r="G286" s="55"/>
    </row>
    <row r="287">
      <c r="A287" s="52"/>
      <c r="B287" s="53"/>
      <c r="C287" s="54"/>
      <c r="D287" s="54"/>
      <c r="E287" s="54"/>
      <c r="F287" s="43"/>
      <c r="G287" s="55"/>
    </row>
    <row r="288">
      <c r="A288" s="52"/>
      <c r="B288" s="53"/>
      <c r="C288" s="54"/>
      <c r="D288" s="54"/>
      <c r="E288" s="54"/>
      <c r="F288" s="43"/>
      <c r="G288" s="55"/>
    </row>
    <row r="289">
      <c r="A289" s="52"/>
      <c r="B289" s="53"/>
      <c r="C289" s="54"/>
      <c r="D289" s="54"/>
      <c r="E289" s="54"/>
      <c r="F289" s="43"/>
      <c r="G289" s="55"/>
    </row>
    <row r="290">
      <c r="A290" s="52"/>
      <c r="B290" s="53"/>
      <c r="C290" s="54"/>
      <c r="D290" s="54"/>
      <c r="E290" s="54"/>
      <c r="F290" s="43"/>
      <c r="G290" s="55"/>
    </row>
    <row r="291">
      <c r="A291" s="52"/>
      <c r="B291" s="53"/>
      <c r="C291" s="54"/>
      <c r="D291" s="54"/>
      <c r="E291" s="54"/>
      <c r="F291" s="43"/>
      <c r="G291" s="55"/>
    </row>
    <row r="292">
      <c r="A292" s="52"/>
      <c r="B292" s="53"/>
      <c r="C292" s="54"/>
      <c r="D292" s="54"/>
      <c r="E292" s="54"/>
      <c r="F292" s="43"/>
      <c r="G292" s="55"/>
    </row>
    <row r="293">
      <c r="A293" s="52"/>
      <c r="B293" s="53"/>
      <c r="C293" s="54"/>
      <c r="D293" s="54"/>
      <c r="E293" s="54"/>
      <c r="F293" s="43"/>
      <c r="G293" s="55"/>
    </row>
    <row r="294">
      <c r="A294" s="52"/>
      <c r="B294" s="53"/>
      <c r="C294" s="54"/>
      <c r="D294" s="54"/>
      <c r="E294" s="54"/>
      <c r="F294" s="43"/>
      <c r="G294" s="55"/>
    </row>
    <row r="295">
      <c r="A295" s="52"/>
      <c r="B295" s="53"/>
      <c r="C295" s="54"/>
      <c r="D295" s="54"/>
      <c r="E295" s="54"/>
      <c r="F295" s="43"/>
      <c r="G295" s="55"/>
    </row>
    <row r="296">
      <c r="A296" s="52"/>
      <c r="B296" s="53"/>
      <c r="C296" s="54"/>
      <c r="D296" s="54"/>
      <c r="E296" s="54"/>
      <c r="F296" s="43"/>
      <c r="G296" s="55"/>
    </row>
    <row r="297">
      <c r="A297" s="52"/>
      <c r="B297" s="53"/>
      <c r="C297" s="54"/>
      <c r="D297" s="54"/>
      <c r="E297" s="54"/>
      <c r="F297" s="43"/>
      <c r="G297" s="55"/>
    </row>
    <row r="298">
      <c r="A298" s="52"/>
      <c r="B298" s="53"/>
      <c r="C298" s="54"/>
      <c r="D298" s="54"/>
      <c r="E298" s="54"/>
      <c r="F298" s="43"/>
      <c r="G298" s="55"/>
    </row>
    <row r="299">
      <c r="A299" s="52"/>
      <c r="B299" s="53"/>
      <c r="C299" s="54"/>
      <c r="D299" s="54"/>
      <c r="E299" s="54"/>
      <c r="F299" s="43"/>
      <c r="G299" s="55"/>
    </row>
    <row r="300">
      <c r="A300" s="52"/>
      <c r="B300" s="53"/>
      <c r="C300" s="54"/>
      <c r="D300" s="54"/>
      <c r="E300" s="54"/>
      <c r="F300" s="43"/>
      <c r="G300" s="55"/>
    </row>
    <row r="301">
      <c r="A301" s="52"/>
      <c r="B301" s="53"/>
      <c r="C301" s="54"/>
      <c r="D301" s="54"/>
      <c r="E301" s="54"/>
      <c r="F301" s="43"/>
      <c r="G301" s="55"/>
    </row>
    <row r="302">
      <c r="A302" s="52"/>
      <c r="B302" s="53"/>
      <c r="C302" s="54"/>
      <c r="D302" s="54"/>
      <c r="E302" s="54"/>
      <c r="F302" s="43"/>
      <c r="G302" s="55"/>
    </row>
    <row r="303">
      <c r="A303" s="52"/>
      <c r="B303" s="53"/>
      <c r="C303" s="54"/>
      <c r="D303" s="54"/>
      <c r="E303" s="54"/>
      <c r="F303" s="43"/>
      <c r="G303" s="55"/>
    </row>
    <row r="304">
      <c r="A304" s="52"/>
      <c r="B304" s="53"/>
      <c r="C304" s="54"/>
      <c r="D304" s="54"/>
      <c r="E304" s="54"/>
      <c r="F304" s="43"/>
      <c r="G304" s="55"/>
    </row>
    <row r="305">
      <c r="A305" s="52"/>
      <c r="B305" s="53"/>
      <c r="C305" s="54"/>
      <c r="D305" s="54"/>
      <c r="E305" s="54"/>
      <c r="F305" s="43"/>
      <c r="G305" s="55"/>
    </row>
    <row r="306">
      <c r="A306" s="52"/>
      <c r="B306" s="53"/>
      <c r="C306" s="54"/>
      <c r="D306" s="54"/>
      <c r="E306" s="54"/>
      <c r="F306" s="43"/>
      <c r="G306" s="55"/>
    </row>
    <row r="307">
      <c r="A307" s="52"/>
      <c r="B307" s="53"/>
      <c r="C307" s="54"/>
      <c r="D307" s="54"/>
      <c r="E307" s="54"/>
      <c r="F307" s="43"/>
      <c r="G307" s="55"/>
    </row>
    <row r="308">
      <c r="A308" s="52"/>
      <c r="B308" s="53"/>
      <c r="C308" s="54"/>
      <c r="D308" s="54"/>
      <c r="E308" s="54"/>
      <c r="F308" s="43"/>
      <c r="G308" s="55"/>
    </row>
    <row r="309">
      <c r="A309" s="52"/>
      <c r="B309" s="53"/>
      <c r="C309" s="54"/>
      <c r="D309" s="54"/>
      <c r="E309" s="54"/>
      <c r="F309" s="43"/>
      <c r="G309" s="55"/>
    </row>
    <row r="310">
      <c r="A310" s="52"/>
      <c r="B310" s="53"/>
      <c r="C310" s="54"/>
      <c r="D310" s="54"/>
      <c r="E310" s="54"/>
      <c r="F310" s="43"/>
      <c r="G310" s="55"/>
    </row>
    <row r="311">
      <c r="A311" s="52"/>
      <c r="B311" s="53"/>
      <c r="C311" s="54"/>
      <c r="D311" s="54"/>
      <c r="E311" s="54"/>
      <c r="F311" s="43"/>
      <c r="G311" s="55"/>
    </row>
    <row r="312">
      <c r="A312" s="52"/>
      <c r="B312" s="53"/>
      <c r="C312" s="54"/>
      <c r="D312" s="54"/>
      <c r="E312" s="54"/>
      <c r="F312" s="43"/>
      <c r="G312" s="55"/>
    </row>
    <row r="313">
      <c r="A313" s="52"/>
      <c r="B313" s="53"/>
      <c r="C313" s="54"/>
      <c r="D313" s="54"/>
      <c r="E313" s="54"/>
      <c r="F313" s="43"/>
      <c r="G313" s="55"/>
    </row>
    <row r="314">
      <c r="A314" s="52"/>
      <c r="B314" s="53"/>
      <c r="C314" s="54"/>
      <c r="D314" s="54"/>
      <c r="E314" s="54"/>
      <c r="F314" s="43"/>
      <c r="G314" s="55"/>
    </row>
    <row r="315">
      <c r="A315" s="52"/>
      <c r="B315" s="53"/>
      <c r="C315" s="54"/>
      <c r="D315" s="54"/>
      <c r="E315" s="54"/>
      <c r="F315" s="43"/>
      <c r="G315" s="55"/>
    </row>
    <row r="316">
      <c r="A316" s="52"/>
      <c r="B316" s="53"/>
      <c r="C316" s="54"/>
      <c r="D316" s="54"/>
      <c r="E316" s="54"/>
      <c r="F316" s="43"/>
      <c r="G316" s="55"/>
    </row>
    <row r="317">
      <c r="A317" s="52"/>
      <c r="B317" s="53"/>
      <c r="C317" s="54"/>
      <c r="D317" s="54"/>
      <c r="E317" s="54"/>
      <c r="F317" s="43"/>
      <c r="G317" s="55"/>
    </row>
    <row r="318">
      <c r="A318" s="52"/>
      <c r="B318" s="53"/>
      <c r="C318" s="54"/>
      <c r="D318" s="54"/>
      <c r="E318" s="54"/>
      <c r="F318" s="43"/>
      <c r="G318" s="55"/>
    </row>
    <row r="319">
      <c r="A319" s="52"/>
      <c r="B319" s="53"/>
      <c r="C319" s="54"/>
      <c r="D319" s="54"/>
      <c r="E319" s="54"/>
      <c r="F319" s="43"/>
      <c r="G319" s="55"/>
    </row>
    <row r="320">
      <c r="A320" s="52"/>
      <c r="B320" s="53"/>
      <c r="C320" s="54"/>
      <c r="D320" s="54"/>
      <c r="E320" s="54"/>
      <c r="F320" s="43"/>
      <c r="G320" s="55"/>
    </row>
    <row r="321">
      <c r="A321" s="52"/>
      <c r="B321" s="53"/>
      <c r="C321" s="54"/>
      <c r="D321" s="54"/>
      <c r="E321" s="54"/>
      <c r="F321" s="43"/>
      <c r="G321" s="55"/>
    </row>
    <row r="322">
      <c r="A322" s="52"/>
      <c r="B322" s="53"/>
      <c r="C322" s="54"/>
      <c r="D322" s="54"/>
      <c r="E322" s="54"/>
      <c r="F322" s="43"/>
      <c r="G322" s="55"/>
    </row>
    <row r="323">
      <c r="A323" s="52"/>
      <c r="B323" s="53"/>
      <c r="C323" s="54"/>
      <c r="D323" s="54"/>
      <c r="E323" s="54"/>
      <c r="F323" s="43"/>
      <c r="G323" s="55"/>
    </row>
    <row r="324">
      <c r="A324" s="52"/>
      <c r="B324" s="53"/>
      <c r="C324" s="54"/>
      <c r="D324" s="54"/>
      <c r="E324" s="54"/>
      <c r="F324" s="43"/>
      <c r="G324" s="55"/>
    </row>
    <row r="325">
      <c r="A325" s="52"/>
      <c r="B325" s="53"/>
      <c r="C325" s="54"/>
      <c r="D325" s="54"/>
      <c r="E325" s="54"/>
      <c r="F325" s="43"/>
      <c r="G325" s="55"/>
    </row>
    <row r="326">
      <c r="A326" s="52"/>
      <c r="B326" s="53"/>
      <c r="C326" s="54"/>
      <c r="D326" s="54"/>
      <c r="E326" s="54"/>
      <c r="F326" s="43"/>
      <c r="G326" s="55"/>
    </row>
    <row r="327">
      <c r="A327" s="52"/>
      <c r="B327" s="53"/>
      <c r="C327" s="54"/>
      <c r="D327" s="54"/>
      <c r="E327" s="54"/>
      <c r="F327" s="43"/>
      <c r="G327" s="55"/>
    </row>
    <row r="328">
      <c r="A328" s="52"/>
      <c r="B328" s="53"/>
      <c r="C328" s="54"/>
      <c r="D328" s="54"/>
      <c r="E328" s="54"/>
      <c r="F328" s="43"/>
      <c r="G328" s="55"/>
    </row>
    <row r="329">
      <c r="A329" s="52"/>
      <c r="B329" s="53"/>
      <c r="C329" s="54"/>
      <c r="D329" s="54"/>
      <c r="E329" s="54"/>
      <c r="F329" s="43"/>
      <c r="G329" s="55"/>
    </row>
    <row r="330">
      <c r="A330" s="52"/>
      <c r="B330" s="53"/>
      <c r="C330" s="54"/>
      <c r="D330" s="54"/>
      <c r="E330" s="54"/>
      <c r="F330" s="43"/>
      <c r="G330" s="55"/>
    </row>
    <row r="331">
      <c r="A331" s="52"/>
      <c r="B331" s="53"/>
      <c r="C331" s="54"/>
      <c r="D331" s="54"/>
      <c r="E331" s="54"/>
      <c r="F331" s="43"/>
      <c r="G331" s="55"/>
    </row>
    <row r="332">
      <c r="A332" s="52"/>
      <c r="B332" s="53"/>
      <c r="C332" s="54"/>
      <c r="D332" s="54"/>
      <c r="E332" s="54"/>
      <c r="F332" s="43"/>
      <c r="G332" s="55"/>
    </row>
    <row r="333">
      <c r="A333" s="52"/>
      <c r="B333" s="53"/>
      <c r="C333" s="54"/>
      <c r="D333" s="54"/>
      <c r="E333" s="54"/>
      <c r="F333" s="43"/>
      <c r="G333" s="55"/>
    </row>
    <row r="334">
      <c r="A334" s="52"/>
      <c r="B334" s="53"/>
      <c r="C334" s="54"/>
      <c r="D334" s="54"/>
      <c r="E334" s="54"/>
      <c r="F334" s="43"/>
      <c r="G334" s="55"/>
    </row>
    <row r="335">
      <c r="A335" s="52"/>
      <c r="B335" s="53"/>
      <c r="C335" s="54"/>
      <c r="D335" s="54"/>
      <c r="E335" s="54"/>
      <c r="F335" s="43"/>
      <c r="G335" s="55"/>
    </row>
    <row r="336">
      <c r="A336" s="52"/>
      <c r="B336" s="53"/>
      <c r="C336" s="54"/>
      <c r="D336" s="54"/>
      <c r="E336" s="54"/>
      <c r="F336" s="43"/>
      <c r="G336" s="55"/>
    </row>
    <row r="337">
      <c r="A337" s="52"/>
      <c r="B337" s="53"/>
      <c r="C337" s="54"/>
      <c r="D337" s="54"/>
      <c r="E337" s="54"/>
      <c r="F337" s="43"/>
      <c r="G337" s="55"/>
    </row>
    <row r="338">
      <c r="A338" s="52"/>
      <c r="B338" s="53"/>
      <c r="C338" s="54"/>
      <c r="D338" s="54"/>
      <c r="E338" s="54"/>
      <c r="F338" s="43"/>
      <c r="G338" s="55"/>
    </row>
    <row r="339">
      <c r="A339" s="52"/>
      <c r="B339" s="53"/>
      <c r="C339" s="54"/>
      <c r="D339" s="54"/>
      <c r="E339" s="54"/>
      <c r="F339" s="43"/>
      <c r="G339" s="55"/>
    </row>
    <row r="340">
      <c r="A340" s="52"/>
      <c r="B340" s="53"/>
      <c r="C340" s="54"/>
      <c r="D340" s="54"/>
      <c r="E340" s="54"/>
      <c r="F340" s="43"/>
      <c r="G340" s="55"/>
    </row>
    <row r="341">
      <c r="A341" s="52"/>
      <c r="B341" s="53"/>
      <c r="C341" s="54"/>
      <c r="D341" s="54"/>
      <c r="E341" s="54"/>
      <c r="F341" s="43"/>
      <c r="G341" s="55"/>
    </row>
    <row r="342">
      <c r="A342" s="52"/>
      <c r="B342" s="53"/>
      <c r="C342" s="54"/>
      <c r="D342" s="54"/>
      <c r="E342" s="54"/>
      <c r="F342" s="43"/>
      <c r="G342" s="55"/>
    </row>
    <row r="343">
      <c r="A343" s="52"/>
      <c r="B343" s="53"/>
      <c r="C343" s="54"/>
      <c r="D343" s="54"/>
      <c r="E343" s="54"/>
      <c r="F343" s="43"/>
      <c r="G343" s="55"/>
    </row>
    <row r="344">
      <c r="A344" s="52"/>
      <c r="B344" s="53"/>
      <c r="C344" s="54"/>
      <c r="D344" s="54"/>
      <c r="E344" s="54"/>
      <c r="F344" s="43"/>
      <c r="G344" s="55"/>
    </row>
    <row r="345">
      <c r="A345" s="52"/>
      <c r="B345" s="53"/>
      <c r="C345" s="54"/>
      <c r="D345" s="54"/>
      <c r="E345" s="54"/>
      <c r="F345" s="43"/>
      <c r="G345" s="55"/>
    </row>
    <row r="346">
      <c r="A346" s="52"/>
      <c r="B346" s="53"/>
      <c r="C346" s="54"/>
      <c r="D346" s="54"/>
      <c r="E346" s="54"/>
      <c r="F346" s="43"/>
      <c r="G346" s="55"/>
    </row>
    <row r="347">
      <c r="A347" s="52"/>
      <c r="B347" s="53"/>
      <c r="C347" s="54"/>
      <c r="D347" s="54"/>
      <c r="E347" s="54"/>
      <c r="F347" s="43"/>
      <c r="G347" s="55"/>
    </row>
    <row r="348">
      <c r="A348" s="52"/>
      <c r="B348" s="53"/>
      <c r="C348" s="54"/>
      <c r="D348" s="54"/>
      <c r="E348" s="54"/>
      <c r="F348" s="43"/>
      <c r="G348" s="55"/>
    </row>
    <row r="349">
      <c r="A349" s="52"/>
      <c r="B349" s="53"/>
      <c r="C349" s="54"/>
      <c r="D349" s="54"/>
      <c r="E349" s="54"/>
      <c r="F349" s="43"/>
      <c r="G349" s="55"/>
    </row>
    <row r="350">
      <c r="A350" s="52"/>
      <c r="B350" s="53"/>
      <c r="C350" s="54"/>
      <c r="D350" s="54"/>
      <c r="E350" s="54"/>
      <c r="F350" s="43"/>
      <c r="G350" s="55"/>
    </row>
    <row r="351">
      <c r="A351" s="52"/>
      <c r="B351" s="53"/>
      <c r="C351" s="54"/>
      <c r="D351" s="54"/>
      <c r="E351" s="54"/>
      <c r="F351" s="43"/>
      <c r="G351" s="55"/>
    </row>
    <row r="352">
      <c r="A352" s="52"/>
      <c r="B352" s="53"/>
      <c r="C352" s="54"/>
      <c r="D352" s="54"/>
      <c r="E352" s="54"/>
      <c r="F352" s="43"/>
      <c r="G352" s="55"/>
    </row>
    <row r="353">
      <c r="A353" s="52"/>
      <c r="B353" s="53"/>
      <c r="C353" s="54"/>
      <c r="D353" s="54"/>
      <c r="E353" s="54"/>
      <c r="F353" s="43"/>
      <c r="G353" s="55"/>
    </row>
    <row r="354">
      <c r="A354" s="52"/>
      <c r="B354" s="53"/>
      <c r="C354" s="54"/>
      <c r="D354" s="54"/>
      <c r="E354" s="54"/>
      <c r="F354" s="43"/>
      <c r="G354" s="55"/>
    </row>
    <row r="355">
      <c r="A355" s="52"/>
      <c r="B355" s="53"/>
      <c r="C355" s="54"/>
      <c r="D355" s="54"/>
      <c r="E355" s="54"/>
      <c r="F355" s="43"/>
      <c r="G355" s="55"/>
    </row>
    <row r="356">
      <c r="A356" s="52"/>
      <c r="B356" s="53"/>
      <c r="C356" s="54"/>
      <c r="D356" s="54"/>
      <c r="E356" s="54"/>
      <c r="F356" s="43"/>
      <c r="G356" s="55"/>
    </row>
    <row r="357">
      <c r="A357" s="52"/>
      <c r="B357" s="53"/>
      <c r="C357" s="54"/>
      <c r="D357" s="54"/>
      <c r="E357" s="54"/>
      <c r="F357" s="43"/>
      <c r="G357" s="55"/>
    </row>
    <row r="358">
      <c r="A358" s="52"/>
      <c r="B358" s="53"/>
      <c r="C358" s="54"/>
      <c r="D358" s="54"/>
      <c r="E358" s="54"/>
      <c r="F358" s="43"/>
      <c r="G358" s="55"/>
    </row>
    <row r="359">
      <c r="A359" s="52"/>
      <c r="B359" s="53"/>
      <c r="C359" s="54"/>
      <c r="D359" s="54"/>
      <c r="E359" s="54"/>
      <c r="F359" s="43"/>
      <c r="G359" s="55"/>
    </row>
    <row r="360">
      <c r="A360" s="52"/>
      <c r="B360" s="53"/>
      <c r="C360" s="54"/>
      <c r="D360" s="54"/>
      <c r="E360" s="54"/>
      <c r="F360" s="43"/>
      <c r="G360" s="55"/>
    </row>
    <row r="361">
      <c r="A361" s="52"/>
      <c r="B361" s="53"/>
      <c r="C361" s="54"/>
      <c r="D361" s="54"/>
      <c r="E361" s="54"/>
      <c r="F361" s="43"/>
      <c r="G361" s="55"/>
    </row>
    <row r="362">
      <c r="A362" s="52"/>
      <c r="B362" s="53"/>
      <c r="C362" s="54"/>
      <c r="D362" s="54"/>
      <c r="E362" s="54"/>
      <c r="F362" s="43"/>
      <c r="G362" s="55"/>
    </row>
    <row r="363">
      <c r="A363" s="52"/>
      <c r="B363" s="53"/>
      <c r="C363" s="54"/>
      <c r="D363" s="54"/>
      <c r="E363" s="54"/>
      <c r="F363" s="43"/>
      <c r="G363" s="55"/>
    </row>
    <row r="364">
      <c r="A364" s="52"/>
      <c r="B364" s="53"/>
      <c r="C364" s="54"/>
      <c r="D364" s="54"/>
      <c r="E364" s="54"/>
      <c r="F364" s="43"/>
      <c r="G364" s="55"/>
    </row>
    <row r="365">
      <c r="A365" s="52"/>
      <c r="B365" s="53"/>
      <c r="C365" s="54"/>
      <c r="D365" s="54"/>
      <c r="E365" s="54"/>
      <c r="F365" s="43"/>
      <c r="G365" s="55"/>
    </row>
    <row r="366">
      <c r="A366" s="52"/>
      <c r="B366" s="53"/>
      <c r="C366" s="54"/>
      <c r="D366" s="54"/>
      <c r="E366" s="54"/>
      <c r="F366" s="43"/>
      <c r="G366" s="55"/>
    </row>
    <row r="367">
      <c r="A367" s="52"/>
      <c r="B367" s="53"/>
      <c r="C367" s="54"/>
      <c r="D367" s="54"/>
      <c r="E367" s="54"/>
      <c r="F367" s="43"/>
      <c r="G367" s="55"/>
    </row>
    <row r="368">
      <c r="A368" s="52"/>
      <c r="B368" s="53"/>
      <c r="C368" s="54"/>
      <c r="D368" s="54"/>
      <c r="E368" s="54"/>
      <c r="F368" s="43"/>
      <c r="G368" s="55"/>
    </row>
    <row r="369">
      <c r="A369" s="52"/>
      <c r="B369" s="53"/>
      <c r="C369" s="54"/>
      <c r="D369" s="54"/>
      <c r="E369" s="54"/>
      <c r="F369" s="43"/>
      <c r="G369" s="55"/>
    </row>
    <row r="370">
      <c r="A370" s="52"/>
      <c r="B370" s="53"/>
      <c r="C370" s="54"/>
      <c r="D370" s="54"/>
      <c r="E370" s="54"/>
      <c r="F370" s="43"/>
      <c r="G370" s="55"/>
    </row>
    <row r="371">
      <c r="A371" s="52"/>
      <c r="B371" s="53"/>
      <c r="C371" s="54"/>
      <c r="D371" s="54"/>
      <c r="E371" s="54"/>
      <c r="F371" s="43"/>
      <c r="G371" s="55"/>
    </row>
    <row r="372">
      <c r="A372" s="52"/>
      <c r="B372" s="53"/>
      <c r="C372" s="54"/>
      <c r="D372" s="54"/>
      <c r="E372" s="54"/>
      <c r="F372" s="43"/>
      <c r="G372" s="55"/>
    </row>
    <row r="373">
      <c r="A373" s="52"/>
      <c r="B373" s="53"/>
      <c r="C373" s="54"/>
      <c r="D373" s="54"/>
      <c r="E373" s="54"/>
      <c r="F373" s="43"/>
      <c r="G373" s="55"/>
    </row>
    <row r="374">
      <c r="A374" s="52"/>
      <c r="B374" s="53"/>
      <c r="C374" s="54"/>
      <c r="D374" s="54"/>
      <c r="E374" s="54"/>
      <c r="F374" s="43"/>
      <c r="G374" s="55"/>
    </row>
    <row r="375">
      <c r="A375" s="52"/>
      <c r="B375" s="53"/>
      <c r="C375" s="54"/>
      <c r="D375" s="54"/>
      <c r="E375" s="54"/>
      <c r="F375" s="43"/>
      <c r="G375" s="55"/>
    </row>
    <row r="376">
      <c r="A376" s="52"/>
      <c r="B376" s="53"/>
      <c r="C376" s="54"/>
      <c r="D376" s="54"/>
      <c r="E376" s="54"/>
      <c r="F376" s="43"/>
      <c r="G376" s="55"/>
    </row>
    <row r="377">
      <c r="A377" s="52"/>
      <c r="B377" s="53"/>
      <c r="C377" s="54"/>
      <c r="D377" s="54"/>
      <c r="E377" s="54"/>
      <c r="F377" s="43"/>
      <c r="G377" s="55"/>
    </row>
    <row r="378">
      <c r="A378" s="52"/>
      <c r="B378" s="53"/>
      <c r="C378" s="54"/>
      <c r="D378" s="54"/>
      <c r="E378" s="54"/>
      <c r="F378" s="43"/>
      <c r="G378" s="55"/>
    </row>
    <row r="379">
      <c r="A379" s="52"/>
      <c r="B379" s="53"/>
      <c r="C379" s="54"/>
      <c r="D379" s="54"/>
      <c r="E379" s="54"/>
      <c r="F379" s="43"/>
      <c r="G379" s="55"/>
    </row>
    <row r="380">
      <c r="A380" s="52"/>
      <c r="B380" s="53"/>
      <c r="C380" s="54"/>
      <c r="D380" s="54"/>
      <c r="E380" s="54"/>
      <c r="F380" s="43"/>
      <c r="G380" s="55"/>
    </row>
    <row r="381">
      <c r="A381" s="52"/>
      <c r="B381" s="53"/>
      <c r="C381" s="54"/>
      <c r="D381" s="54"/>
      <c r="E381" s="54"/>
      <c r="F381" s="43"/>
      <c r="G381" s="55"/>
    </row>
    <row r="382">
      <c r="A382" s="52"/>
      <c r="B382" s="53"/>
      <c r="C382" s="54"/>
      <c r="D382" s="54"/>
      <c r="E382" s="54"/>
      <c r="F382" s="43"/>
      <c r="G382" s="55"/>
    </row>
    <row r="383">
      <c r="A383" s="52"/>
      <c r="B383" s="53"/>
      <c r="C383" s="54"/>
      <c r="D383" s="54"/>
      <c r="E383" s="54"/>
      <c r="F383" s="43"/>
      <c r="G383" s="55"/>
    </row>
    <row r="384">
      <c r="A384" s="52"/>
      <c r="B384" s="53"/>
      <c r="C384" s="54"/>
      <c r="D384" s="54"/>
      <c r="E384" s="54"/>
      <c r="F384" s="43"/>
      <c r="G384" s="55"/>
    </row>
    <row r="385">
      <c r="A385" s="52"/>
      <c r="B385" s="53"/>
      <c r="C385" s="54"/>
      <c r="D385" s="54"/>
      <c r="E385" s="54"/>
      <c r="F385" s="43"/>
      <c r="G385" s="55"/>
    </row>
    <row r="386">
      <c r="A386" s="52"/>
      <c r="B386" s="53"/>
      <c r="C386" s="54"/>
      <c r="D386" s="54"/>
      <c r="E386" s="54"/>
      <c r="F386" s="43"/>
      <c r="G386" s="55"/>
    </row>
    <row r="387">
      <c r="A387" s="52"/>
      <c r="B387" s="53"/>
      <c r="C387" s="54"/>
      <c r="D387" s="54"/>
      <c r="E387" s="54"/>
      <c r="F387" s="43"/>
      <c r="G387" s="55"/>
    </row>
    <row r="388">
      <c r="A388" s="52"/>
      <c r="B388" s="53"/>
      <c r="C388" s="54"/>
      <c r="D388" s="54"/>
      <c r="E388" s="54"/>
      <c r="F388" s="43"/>
      <c r="G388" s="55"/>
    </row>
    <row r="389">
      <c r="A389" s="52"/>
      <c r="B389" s="53"/>
      <c r="C389" s="54"/>
      <c r="D389" s="54"/>
      <c r="E389" s="54"/>
      <c r="F389" s="43"/>
      <c r="G389" s="55"/>
    </row>
    <row r="390">
      <c r="A390" s="52"/>
      <c r="B390" s="53"/>
      <c r="C390" s="54"/>
      <c r="D390" s="54"/>
      <c r="E390" s="54"/>
      <c r="F390" s="43"/>
      <c r="G390" s="55"/>
    </row>
    <row r="391">
      <c r="A391" s="52"/>
      <c r="B391" s="53"/>
      <c r="C391" s="54"/>
      <c r="D391" s="54"/>
      <c r="E391" s="54"/>
      <c r="F391" s="43"/>
      <c r="G391" s="55"/>
    </row>
    <row r="392">
      <c r="A392" s="52"/>
      <c r="B392" s="53"/>
      <c r="C392" s="54"/>
      <c r="D392" s="54"/>
      <c r="E392" s="54"/>
      <c r="F392" s="43"/>
      <c r="G392" s="55"/>
    </row>
    <row r="393">
      <c r="A393" s="52"/>
      <c r="B393" s="53"/>
      <c r="C393" s="54"/>
      <c r="D393" s="54"/>
      <c r="E393" s="54"/>
      <c r="F393" s="43"/>
      <c r="G393" s="55"/>
    </row>
    <row r="394">
      <c r="A394" s="52"/>
      <c r="B394" s="53"/>
      <c r="C394" s="54"/>
      <c r="D394" s="54"/>
      <c r="E394" s="54"/>
      <c r="F394" s="43"/>
      <c r="G394" s="55"/>
    </row>
    <row r="395">
      <c r="A395" s="52"/>
      <c r="B395" s="53"/>
      <c r="C395" s="54"/>
      <c r="D395" s="54"/>
      <c r="E395" s="54"/>
      <c r="F395" s="43"/>
      <c r="G395" s="55"/>
    </row>
    <row r="396">
      <c r="A396" s="52"/>
      <c r="B396" s="53"/>
      <c r="C396" s="54"/>
      <c r="D396" s="54"/>
      <c r="E396" s="54"/>
      <c r="F396" s="43"/>
      <c r="G396" s="55"/>
    </row>
    <row r="397">
      <c r="A397" s="52"/>
      <c r="B397" s="53"/>
      <c r="C397" s="54"/>
      <c r="D397" s="54"/>
      <c r="E397" s="54"/>
      <c r="F397" s="43"/>
      <c r="G397" s="55"/>
    </row>
    <row r="398">
      <c r="A398" s="52"/>
      <c r="B398" s="53"/>
      <c r="C398" s="54"/>
      <c r="D398" s="54"/>
      <c r="E398" s="54"/>
      <c r="F398" s="43"/>
      <c r="G398" s="55"/>
    </row>
    <row r="399">
      <c r="A399" s="52"/>
      <c r="B399" s="53"/>
      <c r="C399" s="54"/>
      <c r="D399" s="54"/>
      <c r="E399" s="54"/>
      <c r="F399" s="43"/>
      <c r="G399" s="55"/>
    </row>
    <row r="400">
      <c r="A400" s="52"/>
      <c r="B400" s="53"/>
      <c r="C400" s="54"/>
      <c r="D400" s="54"/>
      <c r="E400" s="54"/>
      <c r="F400" s="43"/>
      <c r="G400" s="55"/>
    </row>
    <row r="401">
      <c r="A401" s="52"/>
      <c r="B401" s="53"/>
      <c r="C401" s="54"/>
      <c r="D401" s="54"/>
      <c r="E401" s="54"/>
      <c r="F401" s="43"/>
      <c r="G401" s="55"/>
    </row>
    <row r="402">
      <c r="A402" s="52"/>
      <c r="B402" s="53"/>
      <c r="C402" s="54"/>
      <c r="D402" s="54"/>
      <c r="E402" s="54"/>
      <c r="F402" s="43"/>
      <c r="G402" s="55"/>
    </row>
    <row r="403">
      <c r="A403" s="52"/>
      <c r="B403" s="53"/>
      <c r="C403" s="54"/>
      <c r="D403" s="54"/>
      <c r="E403" s="54"/>
      <c r="F403" s="43"/>
      <c r="G403" s="55"/>
    </row>
    <row r="404">
      <c r="A404" s="52"/>
      <c r="B404" s="53"/>
      <c r="C404" s="54"/>
      <c r="D404" s="54"/>
      <c r="E404" s="54"/>
      <c r="F404" s="43"/>
      <c r="G404" s="55"/>
    </row>
    <row r="405">
      <c r="A405" s="52"/>
      <c r="B405" s="53"/>
      <c r="C405" s="54"/>
      <c r="D405" s="54"/>
      <c r="E405" s="54"/>
      <c r="F405" s="43"/>
      <c r="G405" s="55"/>
    </row>
    <row r="406">
      <c r="A406" s="52"/>
      <c r="B406" s="53"/>
      <c r="C406" s="54"/>
      <c r="D406" s="54"/>
      <c r="E406" s="54"/>
      <c r="F406" s="43"/>
      <c r="G406" s="55"/>
    </row>
    <row r="407">
      <c r="A407" s="52"/>
      <c r="B407" s="53"/>
      <c r="C407" s="54"/>
      <c r="D407" s="54"/>
      <c r="E407" s="54"/>
      <c r="F407" s="43"/>
      <c r="G407" s="55"/>
    </row>
    <row r="408">
      <c r="A408" s="52"/>
      <c r="B408" s="53"/>
      <c r="C408" s="54"/>
      <c r="D408" s="54"/>
      <c r="E408" s="54"/>
      <c r="F408" s="43"/>
      <c r="G408" s="55"/>
    </row>
    <row r="409">
      <c r="A409" s="52"/>
      <c r="B409" s="53"/>
      <c r="C409" s="54"/>
      <c r="D409" s="54"/>
      <c r="E409" s="54"/>
      <c r="F409" s="43"/>
      <c r="G409" s="55"/>
    </row>
    <row r="410">
      <c r="A410" s="52"/>
      <c r="B410" s="53"/>
      <c r="C410" s="54"/>
      <c r="D410" s="54"/>
      <c r="E410" s="54"/>
      <c r="F410" s="43"/>
      <c r="G410" s="55"/>
    </row>
    <row r="411">
      <c r="A411" s="52"/>
      <c r="B411" s="53"/>
      <c r="C411" s="54"/>
      <c r="D411" s="54"/>
      <c r="E411" s="54"/>
      <c r="F411" s="43"/>
      <c r="G411" s="55"/>
    </row>
    <row r="412">
      <c r="A412" s="52"/>
      <c r="B412" s="53"/>
      <c r="C412" s="54"/>
      <c r="D412" s="54"/>
      <c r="E412" s="54"/>
      <c r="F412" s="43"/>
      <c r="G412" s="55"/>
    </row>
    <row r="413">
      <c r="A413" s="52"/>
      <c r="B413" s="53"/>
      <c r="C413" s="54"/>
      <c r="D413" s="54"/>
      <c r="E413" s="54"/>
      <c r="F413" s="43"/>
      <c r="G413" s="55"/>
    </row>
    <row r="414">
      <c r="A414" s="52"/>
      <c r="B414" s="53"/>
      <c r="C414" s="54"/>
      <c r="D414" s="54"/>
      <c r="E414" s="54"/>
      <c r="F414" s="43"/>
      <c r="G414" s="55"/>
    </row>
    <row r="415">
      <c r="A415" s="52"/>
      <c r="B415" s="53"/>
      <c r="C415" s="54"/>
      <c r="D415" s="54"/>
      <c r="E415" s="54"/>
      <c r="F415" s="43"/>
      <c r="G415" s="55"/>
    </row>
    <row r="416">
      <c r="A416" s="52"/>
      <c r="B416" s="53"/>
      <c r="C416" s="54"/>
      <c r="D416" s="54"/>
      <c r="E416" s="54"/>
      <c r="F416" s="43"/>
      <c r="G416" s="55"/>
    </row>
    <row r="417">
      <c r="A417" s="52"/>
      <c r="B417" s="53"/>
      <c r="C417" s="54"/>
      <c r="D417" s="54"/>
      <c r="E417" s="54"/>
      <c r="F417" s="43"/>
      <c r="G417" s="55"/>
    </row>
    <row r="418">
      <c r="A418" s="52"/>
      <c r="B418" s="53"/>
      <c r="C418" s="54"/>
      <c r="D418" s="54"/>
      <c r="E418" s="54"/>
      <c r="F418" s="43"/>
      <c r="G418" s="55"/>
    </row>
    <row r="419">
      <c r="A419" s="52"/>
      <c r="B419" s="53"/>
      <c r="C419" s="54"/>
      <c r="D419" s="54"/>
      <c r="E419" s="54"/>
      <c r="F419" s="43"/>
      <c r="G419" s="55"/>
    </row>
    <row r="420">
      <c r="A420" s="52"/>
      <c r="B420" s="53"/>
      <c r="C420" s="54"/>
      <c r="D420" s="54"/>
      <c r="E420" s="54"/>
      <c r="F420" s="43"/>
      <c r="G420" s="55"/>
    </row>
    <row r="421">
      <c r="A421" s="52"/>
      <c r="B421" s="53"/>
      <c r="C421" s="54"/>
      <c r="D421" s="54"/>
      <c r="E421" s="54"/>
      <c r="F421" s="43"/>
      <c r="G421" s="55"/>
    </row>
    <row r="422">
      <c r="A422" s="52"/>
      <c r="B422" s="53"/>
      <c r="C422" s="54"/>
      <c r="D422" s="54"/>
      <c r="E422" s="54"/>
      <c r="F422" s="43"/>
      <c r="G422" s="55"/>
    </row>
    <row r="423">
      <c r="A423" s="52"/>
      <c r="B423" s="53"/>
      <c r="C423" s="54"/>
      <c r="D423" s="54"/>
      <c r="E423" s="54"/>
      <c r="F423" s="43"/>
      <c r="G423" s="55"/>
    </row>
    <row r="424">
      <c r="A424" s="52"/>
      <c r="B424" s="53"/>
      <c r="C424" s="54"/>
      <c r="D424" s="54"/>
      <c r="E424" s="54"/>
      <c r="F424" s="43"/>
      <c r="G424" s="55"/>
    </row>
    <row r="425">
      <c r="A425" s="52"/>
      <c r="B425" s="53"/>
      <c r="C425" s="54"/>
      <c r="D425" s="54"/>
      <c r="E425" s="54"/>
      <c r="F425" s="43"/>
      <c r="G425" s="55"/>
    </row>
    <row r="426">
      <c r="A426" s="52"/>
      <c r="B426" s="53"/>
      <c r="C426" s="54"/>
      <c r="D426" s="54"/>
      <c r="E426" s="54"/>
      <c r="F426" s="43"/>
      <c r="G426" s="55"/>
    </row>
    <row r="427">
      <c r="A427" s="52"/>
      <c r="B427" s="53"/>
      <c r="C427" s="54"/>
      <c r="D427" s="54"/>
      <c r="E427" s="54"/>
      <c r="F427" s="43"/>
      <c r="G427" s="55"/>
    </row>
    <row r="428">
      <c r="A428" s="52"/>
      <c r="B428" s="53"/>
      <c r="C428" s="54"/>
      <c r="D428" s="54"/>
      <c r="E428" s="54"/>
      <c r="F428" s="43"/>
      <c r="G428" s="55"/>
    </row>
    <row r="429">
      <c r="A429" s="52"/>
      <c r="B429" s="53"/>
      <c r="C429" s="54"/>
      <c r="D429" s="54"/>
      <c r="E429" s="54"/>
      <c r="F429" s="43"/>
      <c r="G429" s="55"/>
    </row>
    <row r="430">
      <c r="A430" s="52"/>
      <c r="B430" s="53"/>
      <c r="C430" s="54"/>
      <c r="D430" s="54"/>
      <c r="E430" s="54"/>
      <c r="F430" s="43"/>
      <c r="G430" s="55"/>
    </row>
    <row r="431">
      <c r="A431" s="52"/>
      <c r="B431" s="53"/>
      <c r="C431" s="54"/>
      <c r="D431" s="54"/>
      <c r="E431" s="54"/>
      <c r="F431" s="43"/>
      <c r="G431" s="55"/>
    </row>
    <row r="432">
      <c r="A432" s="52"/>
      <c r="B432" s="53"/>
      <c r="C432" s="54"/>
      <c r="D432" s="54"/>
      <c r="E432" s="54"/>
      <c r="F432" s="43"/>
      <c r="G432" s="55"/>
    </row>
    <row r="433">
      <c r="A433" s="52"/>
      <c r="B433" s="53"/>
      <c r="C433" s="54"/>
      <c r="D433" s="54"/>
      <c r="E433" s="54"/>
      <c r="F433" s="43"/>
      <c r="G433" s="55"/>
    </row>
    <row r="434">
      <c r="A434" s="52"/>
      <c r="B434" s="53"/>
      <c r="C434" s="54"/>
      <c r="D434" s="54"/>
      <c r="E434" s="54"/>
      <c r="F434" s="43"/>
      <c r="G434" s="55"/>
    </row>
    <row r="435">
      <c r="A435" s="52"/>
      <c r="B435" s="53"/>
      <c r="C435" s="54"/>
      <c r="D435" s="54"/>
      <c r="E435" s="54"/>
      <c r="F435" s="43"/>
      <c r="G435" s="55"/>
    </row>
    <row r="436">
      <c r="A436" s="52"/>
      <c r="B436" s="53"/>
      <c r="C436" s="54"/>
      <c r="D436" s="54"/>
      <c r="E436" s="54"/>
      <c r="F436" s="43"/>
      <c r="G436" s="55"/>
    </row>
    <row r="437">
      <c r="A437" s="52"/>
      <c r="B437" s="53"/>
      <c r="C437" s="54"/>
      <c r="D437" s="54"/>
      <c r="E437" s="54"/>
      <c r="F437" s="43"/>
      <c r="G437" s="55"/>
    </row>
    <row r="438">
      <c r="A438" s="52"/>
      <c r="B438" s="53"/>
      <c r="C438" s="54"/>
      <c r="D438" s="54"/>
      <c r="E438" s="54"/>
      <c r="F438" s="43"/>
      <c r="G438" s="55"/>
    </row>
    <row r="439">
      <c r="A439" s="52"/>
      <c r="B439" s="53"/>
      <c r="C439" s="54"/>
      <c r="D439" s="54"/>
      <c r="E439" s="54"/>
      <c r="F439" s="43"/>
      <c r="G439" s="55"/>
    </row>
    <row r="440">
      <c r="A440" s="52"/>
      <c r="B440" s="53"/>
      <c r="C440" s="54"/>
      <c r="D440" s="54"/>
      <c r="E440" s="54"/>
      <c r="F440" s="43"/>
      <c r="G440" s="55"/>
    </row>
    <row r="441">
      <c r="A441" s="52"/>
      <c r="B441" s="53"/>
      <c r="C441" s="54"/>
      <c r="D441" s="54"/>
      <c r="E441" s="54"/>
      <c r="F441" s="43"/>
      <c r="G441" s="55"/>
    </row>
    <row r="442">
      <c r="A442" s="52"/>
      <c r="B442" s="53"/>
      <c r="C442" s="54"/>
      <c r="D442" s="54"/>
      <c r="E442" s="54"/>
      <c r="F442" s="43"/>
      <c r="G442" s="55"/>
    </row>
    <row r="443">
      <c r="A443" s="52"/>
      <c r="B443" s="53"/>
      <c r="C443" s="54"/>
      <c r="D443" s="54"/>
      <c r="E443" s="54"/>
      <c r="F443" s="43"/>
      <c r="G443" s="55"/>
    </row>
    <row r="444">
      <c r="A444" s="52"/>
      <c r="B444" s="53"/>
      <c r="C444" s="54"/>
      <c r="D444" s="54"/>
      <c r="E444" s="54"/>
      <c r="F444" s="43"/>
      <c r="G444" s="55"/>
    </row>
    <row r="445">
      <c r="A445" s="52"/>
      <c r="B445" s="53"/>
      <c r="C445" s="54"/>
      <c r="D445" s="54"/>
      <c r="E445" s="54"/>
      <c r="F445" s="43"/>
      <c r="G445" s="55"/>
    </row>
    <row r="446">
      <c r="A446" s="52"/>
      <c r="B446" s="53"/>
      <c r="C446" s="54"/>
      <c r="D446" s="54"/>
      <c r="E446" s="54"/>
      <c r="F446" s="43"/>
      <c r="G446" s="55"/>
    </row>
    <row r="447">
      <c r="A447" s="52"/>
      <c r="B447" s="53"/>
      <c r="C447" s="54"/>
      <c r="D447" s="54"/>
      <c r="E447" s="54"/>
      <c r="F447" s="43"/>
      <c r="G447" s="55"/>
    </row>
    <row r="448">
      <c r="A448" s="52"/>
      <c r="B448" s="53"/>
      <c r="C448" s="54"/>
      <c r="D448" s="54"/>
      <c r="E448" s="54"/>
      <c r="F448" s="43"/>
      <c r="G448" s="55"/>
    </row>
    <row r="449">
      <c r="A449" s="52"/>
      <c r="B449" s="53"/>
      <c r="C449" s="54"/>
      <c r="D449" s="54"/>
      <c r="E449" s="54"/>
      <c r="F449" s="43"/>
      <c r="G449" s="55"/>
    </row>
    <row r="450">
      <c r="A450" s="52"/>
      <c r="B450" s="53"/>
      <c r="C450" s="54"/>
      <c r="D450" s="54"/>
      <c r="E450" s="54"/>
      <c r="F450" s="43"/>
      <c r="G450" s="55"/>
    </row>
    <row r="451">
      <c r="A451" s="52"/>
      <c r="B451" s="53"/>
      <c r="C451" s="54"/>
      <c r="D451" s="54"/>
      <c r="E451" s="54"/>
      <c r="F451" s="43"/>
      <c r="G451" s="55"/>
    </row>
    <row r="452">
      <c r="A452" s="52"/>
      <c r="B452" s="53"/>
      <c r="C452" s="54"/>
      <c r="D452" s="54"/>
      <c r="E452" s="54"/>
      <c r="F452" s="43"/>
      <c r="G452" s="55"/>
    </row>
    <row r="453">
      <c r="A453" s="52"/>
      <c r="B453" s="53"/>
      <c r="C453" s="54"/>
      <c r="D453" s="54"/>
      <c r="E453" s="54"/>
      <c r="F453" s="43"/>
      <c r="G453" s="55"/>
    </row>
    <row r="454">
      <c r="A454" s="52"/>
      <c r="B454" s="53"/>
      <c r="C454" s="54"/>
      <c r="D454" s="54"/>
      <c r="E454" s="54"/>
      <c r="F454" s="43"/>
      <c r="G454" s="55"/>
    </row>
    <row r="455">
      <c r="A455" s="52"/>
      <c r="B455" s="53"/>
      <c r="C455" s="54"/>
      <c r="D455" s="54"/>
      <c r="E455" s="54"/>
      <c r="F455" s="43"/>
      <c r="G455" s="55"/>
    </row>
    <row r="456">
      <c r="A456" s="52"/>
      <c r="B456" s="53"/>
      <c r="C456" s="54"/>
      <c r="D456" s="54"/>
      <c r="E456" s="54"/>
      <c r="F456" s="43"/>
      <c r="G456" s="55"/>
    </row>
    <row r="457">
      <c r="A457" s="52"/>
      <c r="B457" s="53"/>
      <c r="C457" s="54"/>
      <c r="D457" s="54"/>
      <c r="E457" s="54"/>
      <c r="F457" s="43"/>
      <c r="G457" s="55"/>
    </row>
    <row r="458">
      <c r="A458" s="52"/>
      <c r="B458" s="53"/>
      <c r="C458" s="54"/>
      <c r="D458" s="54"/>
      <c r="E458" s="54"/>
      <c r="F458" s="43"/>
      <c r="G458" s="55"/>
    </row>
    <row r="459">
      <c r="A459" s="52"/>
      <c r="B459" s="53"/>
      <c r="C459" s="54"/>
      <c r="D459" s="54"/>
      <c r="E459" s="54"/>
      <c r="F459" s="43"/>
      <c r="G459" s="55"/>
    </row>
    <row r="460">
      <c r="A460" s="52"/>
      <c r="B460" s="53"/>
      <c r="C460" s="54"/>
      <c r="D460" s="54"/>
      <c r="E460" s="54"/>
      <c r="F460" s="43"/>
      <c r="G460" s="55"/>
    </row>
    <row r="461">
      <c r="A461" s="52"/>
      <c r="B461" s="53"/>
      <c r="C461" s="54"/>
      <c r="D461" s="54"/>
      <c r="E461" s="54"/>
      <c r="F461" s="43"/>
      <c r="G461" s="55"/>
    </row>
    <row r="462">
      <c r="A462" s="52"/>
      <c r="B462" s="53"/>
      <c r="C462" s="54"/>
      <c r="D462" s="54"/>
      <c r="E462" s="54"/>
      <c r="F462" s="43"/>
      <c r="G462" s="55"/>
    </row>
    <row r="463">
      <c r="A463" s="52"/>
      <c r="B463" s="53"/>
      <c r="C463" s="54"/>
      <c r="D463" s="54"/>
      <c r="E463" s="54"/>
      <c r="F463" s="43"/>
      <c r="G463" s="55"/>
    </row>
    <row r="464">
      <c r="A464" s="52"/>
      <c r="B464" s="53"/>
      <c r="C464" s="54"/>
      <c r="D464" s="54"/>
      <c r="E464" s="54"/>
      <c r="F464" s="43"/>
      <c r="G464" s="55"/>
    </row>
    <row r="465">
      <c r="A465" s="52"/>
      <c r="B465" s="53"/>
      <c r="C465" s="54"/>
      <c r="D465" s="54"/>
      <c r="E465" s="54"/>
      <c r="F465" s="43"/>
      <c r="G465" s="55"/>
    </row>
    <row r="466">
      <c r="A466" s="52"/>
      <c r="B466" s="53"/>
      <c r="C466" s="54"/>
      <c r="D466" s="54"/>
      <c r="E466" s="54"/>
      <c r="F466" s="43"/>
      <c r="G466" s="55"/>
    </row>
    <row r="467">
      <c r="A467" s="52"/>
      <c r="B467" s="53"/>
      <c r="C467" s="54"/>
      <c r="D467" s="54"/>
      <c r="E467" s="54"/>
      <c r="F467" s="43"/>
      <c r="G467" s="55"/>
    </row>
    <row r="468">
      <c r="A468" s="52"/>
      <c r="B468" s="53"/>
      <c r="C468" s="54"/>
      <c r="D468" s="54"/>
      <c r="E468" s="54"/>
      <c r="F468" s="43"/>
      <c r="G468" s="55"/>
    </row>
    <row r="469">
      <c r="A469" s="52"/>
      <c r="B469" s="53"/>
      <c r="C469" s="54"/>
      <c r="D469" s="54"/>
      <c r="E469" s="54"/>
      <c r="F469" s="43"/>
      <c r="G469" s="55"/>
    </row>
    <row r="470">
      <c r="A470" s="52"/>
      <c r="B470" s="53"/>
      <c r="C470" s="54"/>
      <c r="D470" s="54"/>
      <c r="E470" s="54"/>
      <c r="F470" s="43"/>
      <c r="G470" s="55"/>
    </row>
    <row r="471">
      <c r="A471" s="52"/>
      <c r="B471" s="53"/>
      <c r="C471" s="54"/>
      <c r="D471" s="54"/>
      <c r="E471" s="54"/>
      <c r="F471" s="43"/>
      <c r="G471" s="55"/>
    </row>
    <row r="472">
      <c r="A472" s="52"/>
      <c r="B472" s="53"/>
      <c r="C472" s="54"/>
      <c r="D472" s="54"/>
      <c r="E472" s="54"/>
      <c r="F472" s="43"/>
      <c r="G472" s="55"/>
    </row>
    <row r="473">
      <c r="A473" s="52"/>
      <c r="B473" s="53"/>
      <c r="C473" s="54"/>
      <c r="D473" s="54"/>
      <c r="E473" s="54"/>
      <c r="F473" s="43"/>
      <c r="G473" s="55"/>
    </row>
    <row r="474">
      <c r="A474" s="52"/>
      <c r="B474" s="53"/>
      <c r="C474" s="54"/>
      <c r="D474" s="54"/>
      <c r="E474" s="54"/>
      <c r="F474" s="43"/>
      <c r="G474" s="55"/>
    </row>
    <row r="475">
      <c r="A475" s="52"/>
      <c r="B475" s="53"/>
      <c r="C475" s="54"/>
      <c r="D475" s="54"/>
      <c r="E475" s="54"/>
      <c r="F475" s="43"/>
      <c r="G475" s="55"/>
    </row>
    <row r="476">
      <c r="A476" s="52"/>
      <c r="B476" s="53"/>
      <c r="C476" s="54"/>
      <c r="D476" s="54"/>
      <c r="E476" s="54"/>
      <c r="F476" s="43"/>
      <c r="G476" s="55"/>
    </row>
    <row r="477">
      <c r="A477" s="52"/>
      <c r="B477" s="53"/>
      <c r="C477" s="54"/>
      <c r="D477" s="54"/>
      <c r="E477" s="54"/>
      <c r="F477" s="43"/>
      <c r="G477" s="55"/>
    </row>
    <row r="478">
      <c r="A478" s="52"/>
      <c r="B478" s="53"/>
      <c r="C478" s="54"/>
      <c r="D478" s="54"/>
      <c r="E478" s="54"/>
      <c r="F478" s="43"/>
      <c r="G478" s="55"/>
    </row>
    <row r="479">
      <c r="A479" s="52"/>
      <c r="B479" s="53"/>
      <c r="C479" s="54"/>
      <c r="D479" s="54"/>
      <c r="E479" s="54"/>
      <c r="F479" s="43"/>
      <c r="G479" s="55"/>
    </row>
    <row r="480">
      <c r="A480" s="52"/>
      <c r="B480" s="53"/>
      <c r="C480" s="54"/>
      <c r="D480" s="54"/>
      <c r="E480" s="54"/>
      <c r="F480" s="43"/>
      <c r="G480" s="55"/>
    </row>
    <row r="481">
      <c r="A481" s="52"/>
      <c r="B481" s="53"/>
      <c r="C481" s="54"/>
      <c r="D481" s="54"/>
      <c r="E481" s="54"/>
      <c r="F481" s="43"/>
      <c r="G481" s="55"/>
    </row>
    <row r="482">
      <c r="A482" s="52"/>
      <c r="B482" s="53"/>
      <c r="C482" s="54"/>
      <c r="D482" s="54"/>
      <c r="E482" s="54"/>
      <c r="F482" s="43"/>
      <c r="G482" s="55"/>
    </row>
    <row r="483">
      <c r="A483" s="52"/>
      <c r="B483" s="53"/>
      <c r="C483" s="54"/>
      <c r="D483" s="54"/>
      <c r="E483" s="54"/>
      <c r="F483" s="43"/>
      <c r="G483" s="55"/>
    </row>
    <row r="484">
      <c r="A484" s="52"/>
      <c r="B484" s="53"/>
      <c r="C484" s="54"/>
      <c r="D484" s="54"/>
      <c r="E484" s="54"/>
      <c r="F484" s="43"/>
      <c r="G484" s="55"/>
    </row>
    <row r="485">
      <c r="A485" s="52"/>
      <c r="B485" s="53"/>
      <c r="C485" s="54"/>
      <c r="D485" s="54"/>
      <c r="E485" s="54"/>
      <c r="F485" s="43"/>
      <c r="G485" s="55"/>
    </row>
    <row r="486">
      <c r="A486" s="52"/>
      <c r="B486" s="53"/>
      <c r="C486" s="54"/>
      <c r="D486" s="54"/>
      <c r="E486" s="54"/>
      <c r="F486" s="43"/>
      <c r="G486" s="55"/>
    </row>
    <row r="487">
      <c r="A487" s="52"/>
      <c r="B487" s="53"/>
      <c r="C487" s="54"/>
      <c r="D487" s="54"/>
      <c r="E487" s="54"/>
      <c r="F487" s="43"/>
      <c r="G487" s="55"/>
    </row>
    <row r="488">
      <c r="A488" s="52"/>
      <c r="B488" s="53"/>
      <c r="C488" s="54"/>
      <c r="D488" s="54"/>
      <c r="E488" s="54"/>
      <c r="F488" s="43"/>
      <c r="G488" s="55"/>
    </row>
    <row r="489">
      <c r="A489" s="52"/>
      <c r="B489" s="53"/>
      <c r="C489" s="54"/>
      <c r="D489" s="54"/>
      <c r="E489" s="54"/>
      <c r="F489" s="43"/>
      <c r="G489" s="55"/>
    </row>
    <row r="490">
      <c r="A490" s="52"/>
      <c r="B490" s="53"/>
      <c r="C490" s="54"/>
      <c r="D490" s="54"/>
      <c r="E490" s="54"/>
      <c r="F490" s="43"/>
      <c r="G490" s="55"/>
    </row>
    <row r="491">
      <c r="A491" s="52"/>
      <c r="B491" s="53"/>
      <c r="C491" s="54"/>
      <c r="D491" s="54"/>
      <c r="E491" s="54"/>
      <c r="F491" s="43"/>
      <c r="G491" s="55"/>
    </row>
    <row r="492">
      <c r="A492" s="52"/>
      <c r="B492" s="53"/>
      <c r="C492" s="54"/>
      <c r="D492" s="54"/>
      <c r="E492" s="54"/>
      <c r="F492" s="43"/>
      <c r="G492" s="55"/>
    </row>
    <row r="493">
      <c r="A493" s="52"/>
      <c r="B493" s="53"/>
      <c r="C493" s="54"/>
      <c r="D493" s="54"/>
      <c r="E493" s="54"/>
      <c r="F493" s="43"/>
      <c r="G493" s="55"/>
    </row>
    <row r="494">
      <c r="A494" s="52"/>
      <c r="B494" s="53"/>
      <c r="C494" s="54"/>
      <c r="D494" s="54"/>
      <c r="E494" s="54"/>
      <c r="F494" s="43"/>
      <c r="G494" s="55"/>
    </row>
    <row r="495">
      <c r="A495" s="52"/>
      <c r="B495" s="53"/>
      <c r="C495" s="54"/>
      <c r="D495" s="54"/>
      <c r="E495" s="54"/>
      <c r="F495" s="43"/>
      <c r="G495" s="55"/>
    </row>
    <row r="496">
      <c r="A496" s="52"/>
      <c r="B496" s="53"/>
      <c r="C496" s="54"/>
      <c r="D496" s="54"/>
      <c r="E496" s="54"/>
      <c r="F496" s="43"/>
      <c r="G496" s="55"/>
    </row>
    <row r="497">
      <c r="A497" s="52"/>
      <c r="B497" s="53"/>
      <c r="C497" s="54"/>
      <c r="D497" s="54"/>
      <c r="E497" s="54"/>
      <c r="F497" s="43"/>
      <c r="G497" s="55"/>
    </row>
    <row r="498">
      <c r="A498" s="52"/>
      <c r="B498" s="53"/>
      <c r="C498" s="54"/>
      <c r="D498" s="54"/>
      <c r="E498" s="54"/>
      <c r="F498" s="43"/>
      <c r="G498" s="55"/>
    </row>
    <row r="499">
      <c r="A499" s="52"/>
      <c r="B499" s="53"/>
      <c r="C499" s="54"/>
      <c r="D499" s="54"/>
      <c r="E499" s="54"/>
      <c r="F499" s="43"/>
      <c r="G499" s="55"/>
    </row>
    <row r="500">
      <c r="A500" s="52"/>
      <c r="B500" s="53"/>
      <c r="C500" s="54"/>
      <c r="D500" s="54"/>
      <c r="E500" s="54"/>
      <c r="F500" s="43"/>
      <c r="G500" s="55"/>
    </row>
    <row r="501">
      <c r="A501" s="52"/>
      <c r="B501" s="53"/>
      <c r="C501" s="54"/>
      <c r="D501" s="54"/>
      <c r="E501" s="54"/>
      <c r="F501" s="43"/>
      <c r="G501" s="55"/>
    </row>
    <row r="502">
      <c r="A502" s="52"/>
      <c r="B502" s="53"/>
      <c r="C502" s="54"/>
      <c r="D502" s="54"/>
      <c r="E502" s="54"/>
      <c r="F502" s="43"/>
      <c r="G502" s="55"/>
    </row>
    <row r="503">
      <c r="A503" s="52"/>
      <c r="B503" s="53"/>
      <c r="C503" s="54"/>
      <c r="D503" s="54"/>
      <c r="E503" s="54"/>
      <c r="F503" s="43"/>
      <c r="G503" s="55"/>
    </row>
    <row r="504">
      <c r="A504" s="52"/>
      <c r="B504" s="53"/>
      <c r="C504" s="54"/>
      <c r="D504" s="54"/>
      <c r="E504" s="54"/>
      <c r="F504" s="43"/>
      <c r="G504" s="55"/>
    </row>
    <row r="505">
      <c r="A505" s="52"/>
      <c r="B505" s="53"/>
      <c r="C505" s="54"/>
      <c r="D505" s="54"/>
      <c r="E505" s="54"/>
      <c r="F505" s="43"/>
      <c r="G505" s="55"/>
    </row>
    <row r="506">
      <c r="A506" s="52"/>
      <c r="B506" s="53"/>
      <c r="C506" s="54"/>
      <c r="D506" s="54"/>
      <c r="E506" s="54"/>
      <c r="F506" s="43"/>
      <c r="G506" s="55"/>
    </row>
    <row r="507">
      <c r="A507" s="52"/>
      <c r="B507" s="53"/>
      <c r="C507" s="54"/>
      <c r="D507" s="54"/>
      <c r="E507" s="54"/>
      <c r="F507" s="43"/>
      <c r="G507" s="55"/>
    </row>
    <row r="508">
      <c r="A508" s="52"/>
      <c r="B508" s="53"/>
      <c r="C508" s="54"/>
      <c r="D508" s="54"/>
      <c r="E508" s="54"/>
      <c r="F508" s="43"/>
      <c r="G508" s="55"/>
    </row>
    <row r="509">
      <c r="A509" s="52"/>
      <c r="B509" s="53"/>
      <c r="C509" s="54"/>
      <c r="D509" s="54"/>
      <c r="E509" s="54"/>
      <c r="F509" s="43"/>
      <c r="G509" s="55"/>
    </row>
    <row r="510">
      <c r="A510" s="52"/>
      <c r="B510" s="53"/>
      <c r="C510" s="54"/>
      <c r="D510" s="54"/>
      <c r="E510" s="54"/>
      <c r="F510" s="43"/>
      <c r="G510" s="55"/>
    </row>
    <row r="511">
      <c r="A511" s="52"/>
      <c r="B511" s="53"/>
      <c r="C511" s="54"/>
      <c r="D511" s="54"/>
      <c r="E511" s="54"/>
      <c r="F511" s="43"/>
      <c r="G511" s="55"/>
    </row>
    <row r="512">
      <c r="A512" s="52"/>
      <c r="B512" s="53"/>
      <c r="C512" s="54"/>
      <c r="D512" s="54"/>
      <c r="E512" s="54"/>
      <c r="F512" s="43"/>
      <c r="G512" s="55"/>
    </row>
    <row r="513">
      <c r="A513" s="52"/>
      <c r="B513" s="53"/>
      <c r="C513" s="54"/>
      <c r="D513" s="54"/>
      <c r="E513" s="54"/>
      <c r="F513" s="43"/>
      <c r="G513" s="55"/>
    </row>
    <row r="514">
      <c r="A514" s="52"/>
      <c r="B514" s="53"/>
      <c r="C514" s="54"/>
      <c r="D514" s="54"/>
      <c r="E514" s="54"/>
      <c r="F514" s="43"/>
      <c r="G514" s="55"/>
    </row>
    <row r="515">
      <c r="A515" s="52"/>
      <c r="B515" s="53"/>
      <c r="C515" s="54"/>
      <c r="D515" s="54"/>
      <c r="E515" s="54"/>
      <c r="F515" s="43"/>
      <c r="G515" s="55"/>
    </row>
    <row r="516">
      <c r="A516" s="52"/>
      <c r="B516" s="53"/>
      <c r="C516" s="54"/>
      <c r="D516" s="54"/>
      <c r="E516" s="54"/>
      <c r="F516" s="43"/>
      <c r="G516" s="55"/>
    </row>
    <row r="517">
      <c r="A517" s="52"/>
      <c r="B517" s="53"/>
      <c r="C517" s="54"/>
      <c r="D517" s="54"/>
      <c r="E517" s="54"/>
      <c r="F517" s="43"/>
      <c r="G517" s="55"/>
    </row>
    <row r="518">
      <c r="A518" s="52"/>
      <c r="B518" s="53"/>
      <c r="C518" s="54"/>
      <c r="D518" s="54"/>
      <c r="E518" s="54"/>
      <c r="F518" s="43"/>
      <c r="G518" s="55"/>
    </row>
    <row r="519">
      <c r="A519" s="52"/>
      <c r="B519" s="53"/>
      <c r="C519" s="54"/>
      <c r="D519" s="54"/>
      <c r="E519" s="54"/>
      <c r="F519" s="43"/>
      <c r="G519" s="55"/>
    </row>
    <row r="520">
      <c r="A520" s="52"/>
      <c r="B520" s="53"/>
      <c r="C520" s="54"/>
      <c r="D520" s="54"/>
      <c r="E520" s="54"/>
      <c r="F520" s="43"/>
      <c r="G520" s="55"/>
    </row>
    <row r="521">
      <c r="A521" s="52"/>
      <c r="B521" s="53"/>
      <c r="C521" s="54"/>
      <c r="D521" s="54"/>
      <c r="E521" s="54"/>
      <c r="F521" s="43"/>
      <c r="G521" s="55"/>
    </row>
    <row r="522">
      <c r="A522" s="52"/>
      <c r="B522" s="53"/>
      <c r="C522" s="54"/>
      <c r="D522" s="54"/>
      <c r="E522" s="54"/>
      <c r="F522" s="43"/>
      <c r="G522" s="55"/>
    </row>
    <row r="523">
      <c r="A523" s="52"/>
      <c r="B523" s="53"/>
      <c r="C523" s="54"/>
      <c r="D523" s="54"/>
      <c r="E523" s="54"/>
      <c r="F523" s="43"/>
      <c r="G523" s="55"/>
    </row>
    <row r="524">
      <c r="A524" s="52"/>
      <c r="B524" s="53"/>
      <c r="C524" s="54"/>
      <c r="D524" s="54"/>
      <c r="E524" s="54"/>
      <c r="F524" s="43"/>
      <c r="G524" s="55"/>
    </row>
    <row r="525">
      <c r="A525" s="52"/>
      <c r="B525" s="53"/>
      <c r="C525" s="54"/>
      <c r="D525" s="54"/>
      <c r="E525" s="54"/>
      <c r="F525" s="43"/>
      <c r="G525" s="55"/>
    </row>
    <row r="526">
      <c r="A526" s="52"/>
      <c r="B526" s="53"/>
      <c r="C526" s="54"/>
      <c r="D526" s="54"/>
      <c r="E526" s="54"/>
      <c r="F526" s="43"/>
      <c r="G526" s="55"/>
    </row>
    <row r="527">
      <c r="A527" s="52"/>
      <c r="B527" s="53"/>
      <c r="C527" s="54"/>
      <c r="D527" s="54"/>
      <c r="E527" s="54"/>
      <c r="F527" s="43"/>
      <c r="G527" s="55"/>
    </row>
    <row r="528">
      <c r="A528" s="52"/>
      <c r="B528" s="53"/>
      <c r="C528" s="54"/>
      <c r="D528" s="54"/>
      <c r="E528" s="54"/>
      <c r="F528" s="43"/>
      <c r="G528" s="55"/>
    </row>
    <row r="529">
      <c r="A529" s="52"/>
      <c r="B529" s="53"/>
      <c r="C529" s="54"/>
      <c r="D529" s="54"/>
      <c r="E529" s="54"/>
      <c r="F529" s="43"/>
      <c r="G529" s="55"/>
    </row>
    <row r="530">
      <c r="A530" s="52"/>
      <c r="B530" s="53"/>
      <c r="C530" s="54"/>
      <c r="D530" s="54"/>
      <c r="E530" s="54"/>
      <c r="F530" s="43"/>
      <c r="G530" s="55"/>
    </row>
    <row r="531">
      <c r="A531" s="52"/>
      <c r="B531" s="53"/>
      <c r="C531" s="54"/>
      <c r="D531" s="54"/>
      <c r="E531" s="54"/>
      <c r="F531" s="43"/>
      <c r="G531" s="55"/>
    </row>
    <row r="532">
      <c r="A532" s="52"/>
      <c r="B532" s="53"/>
      <c r="C532" s="54"/>
      <c r="D532" s="54"/>
      <c r="E532" s="54"/>
      <c r="F532" s="43"/>
      <c r="G532" s="55"/>
    </row>
    <row r="533">
      <c r="A533" s="52"/>
      <c r="B533" s="53"/>
      <c r="C533" s="54"/>
      <c r="D533" s="54"/>
      <c r="E533" s="54"/>
      <c r="F533" s="43"/>
      <c r="G533" s="55"/>
    </row>
    <row r="534">
      <c r="A534" s="52"/>
      <c r="B534" s="53"/>
      <c r="C534" s="54"/>
      <c r="D534" s="54"/>
      <c r="E534" s="54"/>
      <c r="F534" s="43"/>
      <c r="G534" s="55"/>
    </row>
    <row r="535">
      <c r="A535" s="52"/>
      <c r="B535" s="53"/>
      <c r="C535" s="54"/>
      <c r="D535" s="54"/>
      <c r="E535" s="54"/>
      <c r="F535" s="43"/>
      <c r="G535" s="55"/>
    </row>
    <row r="536">
      <c r="A536" s="52"/>
      <c r="B536" s="53"/>
      <c r="C536" s="54"/>
      <c r="D536" s="54"/>
      <c r="E536" s="54"/>
      <c r="F536" s="43"/>
      <c r="G536" s="55"/>
    </row>
    <row r="537">
      <c r="A537" s="52"/>
      <c r="B537" s="53"/>
      <c r="C537" s="54"/>
      <c r="D537" s="54"/>
      <c r="E537" s="54"/>
      <c r="F537" s="43"/>
      <c r="G537" s="55"/>
    </row>
    <row r="538">
      <c r="A538" s="52"/>
      <c r="B538" s="53"/>
      <c r="C538" s="54"/>
      <c r="D538" s="54"/>
      <c r="E538" s="54"/>
      <c r="F538" s="43"/>
      <c r="G538" s="55"/>
    </row>
    <row r="539">
      <c r="A539" s="52"/>
      <c r="B539" s="53"/>
      <c r="C539" s="54"/>
      <c r="D539" s="54"/>
      <c r="E539" s="54"/>
      <c r="F539" s="43"/>
      <c r="G539" s="55"/>
    </row>
    <row r="540">
      <c r="A540" s="52"/>
      <c r="B540" s="53"/>
      <c r="C540" s="54"/>
      <c r="D540" s="54"/>
      <c r="E540" s="54"/>
      <c r="F540" s="43"/>
      <c r="G540" s="55"/>
    </row>
    <row r="541">
      <c r="A541" s="52"/>
      <c r="B541" s="53"/>
      <c r="C541" s="54"/>
      <c r="D541" s="54"/>
      <c r="E541" s="54"/>
      <c r="F541" s="43"/>
      <c r="G541" s="55"/>
    </row>
    <row r="542">
      <c r="A542" s="52"/>
      <c r="B542" s="53"/>
      <c r="C542" s="54"/>
      <c r="D542" s="54"/>
      <c r="E542" s="54"/>
      <c r="F542" s="43"/>
      <c r="G542" s="55"/>
    </row>
    <row r="543">
      <c r="A543" s="52"/>
      <c r="B543" s="53"/>
      <c r="C543" s="54"/>
      <c r="D543" s="54"/>
      <c r="E543" s="54"/>
      <c r="F543" s="43"/>
      <c r="G543" s="55"/>
    </row>
    <row r="544">
      <c r="A544" s="52"/>
      <c r="B544" s="53"/>
      <c r="C544" s="54"/>
      <c r="D544" s="54"/>
      <c r="E544" s="54"/>
      <c r="F544" s="43"/>
      <c r="G544" s="55"/>
    </row>
    <row r="545">
      <c r="A545" s="52"/>
      <c r="B545" s="53"/>
      <c r="C545" s="54"/>
      <c r="D545" s="54"/>
      <c r="E545" s="54"/>
      <c r="F545" s="43"/>
      <c r="G545" s="55"/>
    </row>
    <row r="546">
      <c r="A546" s="52"/>
      <c r="B546" s="53"/>
      <c r="C546" s="54"/>
      <c r="D546" s="54"/>
      <c r="E546" s="54"/>
      <c r="F546" s="43"/>
      <c r="G546" s="55"/>
    </row>
    <row r="547">
      <c r="A547" s="52"/>
      <c r="B547" s="53"/>
      <c r="C547" s="54"/>
      <c r="D547" s="54"/>
      <c r="E547" s="54"/>
      <c r="F547" s="43"/>
      <c r="G547" s="55"/>
    </row>
    <row r="548">
      <c r="A548" s="52"/>
      <c r="B548" s="53"/>
      <c r="C548" s="54"/>
      <c r="D548" s="54"/>
      <c r="E548" s="54"/>
      <c r="F548" s="43"/>
      <c r="G548" s="55"/>
    </row>
    <row r="549">
      <c r="A549" s="52"/>
      <c r="B549" s="53"/>
      <c r="C549" s="54"/>
      <c r="D549" s="54"/>
      <c r="E549" s="54"/>
      <c r="F549" s="43"/>
      <c r="G549" s="55"/>
    </row>
    <row r="550">
      <c r="A550" s="52"/>
      <c r="B550" s="53"/>
      <c r="C550" s="54"/>
      <c r="D550" s="54"/>
      <c r="E550" s="54"/>
      <c r="F550" s="43"/>
      <c r="G550" s="55"/>
    </row>
    <row r="551">
      <c r="A551" s="52"/>
      <c r="B551" s="53"/>
      <c r="C551" s="54"/>
      <c r="D551" s="54"/>
      <c r="E551" s="54"/>
      <c r="F551" s="43"/>
      <c r="G551" s="55"/>
    </row>
    <row r="552">
      <c r="A552" s="52"/>
      <c r="B552" s="53"/>
      <c r="C552" s="54"/>
      <c r="D552" s="54"/>
      <c r="E552" s="54"/>
      <c r="F552" s="43"/>
      <c r="G552" s="55"/>
    </row>
    <row r="553">
      <c r="A553" s="52"/>
      <c r="B553" s="53"/>
      <c r="C553" s="54"/>
      <c r="D553" s="54"/>
      <c r="E553" s="54"/>
      <c r="F553" s="43"/>
      <c r="G553" s="55"/>
    </row>
    <row r="554">
      <c r="A554" s="52"/>
      <c r="B554" s="53"/>
      <c r="C554" s="54"/>
      <c r="D554" s="54"/>
      <c r="E554" s="54"/>
      <c r="F554" s="43"/>
      <c r="G554" s="55"/>
    </row>
    <row r="555">
      <c r="A555" s="52"/>
      <c r="B555" s="53"/>
      <c r="C555" s="54"/>
      <c r="D555" s="54"/>
      <c r="E555" s="54"/>
      <c r="F555" s="43"/>
      <c r="G555" s="55"/>
    </row>
    <row r="556">
      <c r="A556" s="52"/>
      <c r="B556" s="53"/>
      <c r="C556" s="54"/>
      <c r="D556" s="54"/>
      <c r="E556" s="54"/>
      <c r="F556" s="43"/>
      <c r="G556" s="55"/>
    </row>
    <row r="557">
      <c r="A557" s="52"/>
      <c r="B557" s="53"/>
      <c r="C557" s="54"/>
      <c r="D557" s="54"/>
      <c r="E557" s="54"/>
      <c r="F557" s="43"/>
      <c r="G557" s="55"/>
    </row>
    <row r="558">
      <c r="A558" s="52"/>
      <c r="B558" s="53"/>
      <c r="C558" s="54"/>
      <c r="D558" s="54"/>
      <c r="E558" s="54"/>
      <c r="F558" s="43"/>
      <c r="G558" s="55"/>
    </row>
    <row r="559">
      <c r="A559" s="52"/>
      <c r="B559" s="53"/>
      <c r="C559" s="54"/>
      <c r="D559" s="54"/>
      <c r="E559" s="54"/>
      <c r="F559" s="43"/>
      <c r="G559" s="55"/>
    </row>
    <row r="560">
      <c r="A560" s="52"/>
      <c r="B560" s="53"/>
      <c r="C560" s="54"/>
      <c r="D560" s="54"/>
      <c r="E560" s="54"/>
      <c r="F560" s="43"/>
      <c r="G560" s="55"/>
    </row>
    <row r="561">
      <c r="A561" s="52"/>
      <c r="B561" s="53"/>
      <c r="C561" s="54"/>
      <c r="D561" s="54"/>
      <c r="E561" s="54"/>
      <c r="F561" s="43"/>
      <c r="G561" s="55"/>
    </row>
    <row r="562">
      <c r="A562" s="52"/>
      <c r="B562" s="53"/>
      <c r="C562" s="54"/>
      <c r="D562" s="54"/>
      <c r="E562" s="54"/>
      <c r="F562" s="43"/>
      <c r="G562" s="55"/>
    </row>
    <row r="563">
      <c r="A563" s="52"/>
      <c r="B563" s="53"/>
      <c r="C563" s="54"/>
      <c r="D563" s="54"/>
      <c r="E563" s="54"/>
      <c r="F563" s="43"/>
      <c r="G563" s="55"/>
    </row>
    <row r="564">
      <c r="A564" s="52"/>
      <c r="B564" s="53"/>
      <c r="C564" s="54"/>
      <c r="D564" s="54"/>
      <c r="E564" s="54"/>
      <c r="F564" s="43"/>
      <c r="G564" s="55"/>
    </row>
    <row r="565">
      <c r="A565" s="52"/>
      <c r="B565" s="53"/>
      <c r="C565" s="54"/>
      <c r="D565" s="54"/>
      <c r="E565" s="54"/>
      <c r="F565" s="43"/>
      <c r="G565" s="55"/>
    </row>
    <row r="566">
      <c r="A566" s="52"/>
      <c r="B566" s="53"/>
      <c r="C566" s="54"/>
      <c r="D566" s="54"/>
      <c r="E566" s="54"/>
      <c r="F566" s="43"/>
      <c r="G566" s="55"/>
    </row>
    <row r="567">
      <c r="A567" s="52"/>
      <c r="B567" s="53"/>
      <c r="C567" s="54"/>
      <c r="D567" s="54"/>
      <c r="E567" s="54"/>
      <c r="F567" s="43"/>
      <c r="G567" s="55"/>
    </row>
    <row r="568">
      <c r="A568" s="52"/>
      <c r="B568" s="53"/>
      <c r="C568" s="54"/>
      <c r="D568" s="54"/>
      <c r="E568" s="54"/>
      <c r="F568" s="43"/>
      <c r="G568" s="55"/>
    </row>
    <row r="569">
      <c r="A569" s="52"/>
      <c r="B569" s="53"/>
      <c r="C569" s="54"/>
      <c r="D569" s="54"/>
      <c r="E569" s="54"/>
      <c r="F569" s="43"/>
      <c r="G569" s="55"/>
    </row>
    <row r="570">
      <c r="A570" s="52"/>
      <c r="B570" s="53"/>
      <c r="C570" s="54"/>
      <c r="D570" s="54"/>
      <c r="E570" s="54"/>
      <c r="F570" s="43"/>
      <c r="G570" s="55"/>
    </row>
    <row r="571">
      <c r="A571" s="52"/>
      <c r="B571" s="53"/>
      <c r="C571" s="54"/>
      <c r="D571" s="54"/>
      <c r="E571" s="54"/>
      <c r="F571" s="43"/>
      <c r="G571" s="55"/>
    </row>
    <row r="572">
      <c r="A572" s="52"/>
      <c r="B572" s="53"/>
      <c r="C572" s="54"/>
      <c r="D572" s="54"/>
      <c r="E572" s="54"/>
      <c r="F572" s="43"/>
      <c r="G572" s="55"/>
    </row>
    <row r="573">
      <c r="A573" s="52"/>
      <c r="B573" s="53"/>
      <c r="C573" s="54"/>
      <c r="D573" s="54"/>
      <c r="E573" s="54"/>
      <c r="F573" s="43"/>
      <c r="G573" s="55"/>
    </row>
    <row r="574">
      <c r="A574" s="52"/>
      <c r="B574" s="53"/>
      <c r="C574" s="54"/>
      <c r="D574" s="54"/>
      <c r="E574" s="54"/>
      <c r="F574" s="43"/>
      <c r="G574" s="55"/>
    </row>
    <row r="575">
      <c r="A575" s="52"/>
      <c r="B575" s="53"/>
      <c r="C575" s="54"/>
      <c r="D575" s="54"/>
      <c r="E575" s="54"/>
      <c r="F575" s="43"/>
      <c r="G575" s="55"/>
    </row>
    <row r="576">
      <c r="A576" s="52"/>
      <c r="B576" s="53"/>
      <c r="C576" s="54"/>
      <c r="D576" s="54"/>
      <c r="E576" s="54"/>
      <c r="F576" s="43"/>
      <c r="G576" s="55"/>
    </row>
    <row r="577">
      <c r="A577" s="52"/>
      <c r="B577" s="53"/>
      <c r="C577" s="54"/>
      <c r="D577" s="54"/>
      <c r="E577" s="54"/>
      <c r="F577" s="43"/>
      <c r="G577" s="55"/>
    </row>
    <row r="578">
      <c r="A578" s="52"/>
      <c r="B578" s="53"/>
      <c r="C578" s="54"/>
      <c r="D578" s="54"/>
      <c r="E578" s="54"/>
      <c r="F578" s="43"/>
      <c r="G578" s="55"/>
    </row>
    <row r="579">
      <c r="A579" s="52"/>
      <c r="B579" s="53"/>
      <c r="C579" s="54"/>
      <c r="D579" s="54"/>
      <c r="E579" s="54"/>
      <c r="F579" s="43"/>
      <c r="G579" s="55"/>
    </row>
    <row r="580">
      <c r="A580" s="52"/>
      <c r="B580" s="53"/>
      <c r="C580" s="54"/>
      <c r="D580" s="54"/>
      <c r="E580" s="54"/>
      <c r="F580" s="43"/>
      <c r="G580" s="55"/>
    </row>
    <row r="581">
      <c r="A581" s="52"/>
      <c r="B581" s="53"/>
      <c r="C581" s="54"/>
      <c r="D581" s="54"/>
      <c r="E581" s="54"/>
      <c r="F581" s="43"/>
      <c r="G581" s="55"/>
    </row>
    <row r="582">
      <c r="A582" s="52"/>
      <c r="B582" s="53"/>
      <c r="C582" s="54"/>
      <c r="D582" s="54"/>
      <c r="E582" s="54"/>
      <c r="F582" s="43"/>
      <c r="G582" s="55"/>
    </row>
    <row r="583">
      <c r="A583" s="52"/>
      <c r="B583" s="53"/>
      <c r="C583" s="54"/>
      <c r="D583" s="54"/>
      <c r="E583" s="54"/>
      <c r="F583" s="43"/>
      <c r="G583" s="55"/>
    </row>
    <row r="584">
      <c r="A584" s="52"/>
      <c r="B584" s="53"/>
      <c r="C584" s="54"/>
      <c r="D584" s="54"/>
      <c r="E584" s="54"/>
      <c r="F584" s="43"/>
      <c r="G584" s="55"/>
    </row>
    <row r="585">
      <c r="A585" s="52"/>
      <c r="B585" s="53"/>
      <c r="C585" s="54"/>
      <c r="D585" s="54"/>
      <c r="E585" s="54"/>
      <c r="F585" s="43"/>
      <c r="G585" s="55"/>
    </row>
    <row r="586">
      <c r="A586" s="52"/>
      <c r="B586" s="53"/>
      <c r="C586" s="54"/>
      <c r="D586" s="54"/>
      <c r="E586" s="54"/>
      <c r="F586" s="43"/>
      <c r="G586" s="55"/>
    </row>
    <row r="587">
      <c r="A587" s="52"/>
      <c r="B587" s="53"/>
      <c r="C587" s="54"/>
      <c r="D587" s="54"/>
      <c r="E587" s="54"/>
      <c r="F587" s="43"/>
      <c r="G587" s="55"/>
    </row>
    <row r="588">
      <c r="A588" s="52"/>
      <c r="B588" s="53"/>
      <c r="C588" s="54"/>
      <c r="D588" s="54"/>
      <c r="E588" s="54"/>
      <c r="F588" s="43"/>
      <c r="G588" s="55"/>
    </row>
    <row r="589">
      <c r="A589" s="52"/>
      <c r="B589" s="53"/>
      <c r="C589" s="54"/>
      <c r="D589" s="54"/>
      <c r="E589" s="54"/>
      <c r="F589" s="43"/>
      <c r="G589" s="55"/>
    </row>
    <row r="590">
      <c r="A590" s="52"/>
      <c r="B590" s="53"/>
      <c r="C590" s="54"/>
      <c r="D590" s="54"/>
      <c r="E590" s="54"/>
      <c r="F590" s="43"/>
      <c r="G590" s="55"/>
    </row>
    <row r="591">
      <c r="A591" s="52"/>
      <c r="B591" s="53"/>
      <c r="C591" s="54"/>
      <c r="D591" s="54"/>
      <c r="E591" s="54"/>
      <c r="F591" s="43"/>
      <c r="G591" s="55"/>
    </row>
    <row r="592">
      <c r="A592" s="52"/>
      <c r="B592" s="53"/>
      <c r="C592" s="54"/>
      <c r="D592" s="54"/>
      <c r="E592" s="54"/>
      <c r="F592" s="43"/>
      <c r="G592" s="55"/>
    </row>
    <row r="593">
      <c r="A593" s="52"/>
      <c r="B593" s="53"/>
      <c r="C593" s="54"/>
      <c r="D593" s="54"/>
      <c r="E593" s="54"/>
      <c r="F593" s="43"/>
      <c r="G593" s="55"/>
    </row>
    <row r="594">
      <c r="A594" s="52"/>
      <c r="B594" s="53"/>
      <c r="C594" s="54"/>
      <c r="D594" s="54"/>
      <c r="E594" s="54"/>
      <c r="F594" s="43"/>
      <c r="G594" s="55"/>
    </row>
    <row r="595">
      <c r="A595" s="52"/>
      <c r="B595" s="53"/>
      <c r="C595" s="54"/>
      <c r="D595" s="54"/>
      <c r="E595" s="54"/>
      <c r="F595" s="43"/>
      <c r="G595" s="55"/>
    </row>
    <row r="596">
      <c r="A596" s="52"/>
      <c r="B596" s="53"/>
      <c r="C596" s="54"/>
      <c r="D596" s="54"/>
      <c r="E596" s="54"/>
      <c r="F596" s="43"/>
      <c r="G596" s="55"/>
    </row>
    <row r="597">
      <c r="A597" s="52"/>
      <c r="B597" s="53"/>
      <c r="C597" s="54"/>
      <c r="D597" s="54"/>
      <c r="E597" s="54"/>
      <c r="F597" s="43"/>
      <c r="G597" s="55"/>
    </row>
    <row r="598">
      <c r="A598" s="52"/>
      <c r="B598" s="53"/>
      <c r="C598" s="54"/>
      <c r="D598" s="54"/>
      <c r="E598" s="54"/>
      <c r="F598" s="43"/>
      <c r="G598" s="55"/>
    </row>
    <row r="599">
      <c r="A599" s="52"/>
      <c r="B599" s="53"/>
      <c r="C599" s="54"/>
      <c r="D599" s="54"/>
      <c r="E599" s="54"/>
      <c r="F599" s="43"/>
      <c r="G599" s="55"/>
    </row>
    <row r="600">
      <c r="A600" s="52"/>
      <c r="B600" s="53"/>
      <c r="C600" s="54"/>
      <c r="D600" s="54"/>
      <c r="E600" s="54"/>
      <c r="F600" s="43"/>
      <c r="G600" s="55"/>
    </row>
    <row r="601">
      <c r="A601" s="52"/>
      <c r="B601" s="53"/>
      <c r="C601" s="54"/>
      <c r="D601" s="54"/>
      <c r="E601" s="54"/>
      <c r="F601" s="43"/>
      <c r="G601" s="55"/>
    </row>
    <row r="602">
      <c r="A602" s="52"/>
      <c r="B602" s="53"/>
      <c r="C602" s="54"/>
      <c r="D602" s="54"/>
      <c r="E602" s="54"/>
      <c r="F602" s="43"/>
      <c r="G602" s="55"/>
    </row>
    <row r="603">
      <c r="A603" s="52"/>
      <c r="B603" s="53"/>
      <c r="C603" s="54"/>
      <c r="D603" s="54"/>
      <c r="E603" s="54"/>
      <c r="F603" s="43"/>
      <c r="G603" s="55"/>
    </row>
    <row r="604">
      <c r="A604" s="52"/>
      <c r="B604" s="53"/>
      <c r="C604" s="54"/>
      <c r="D604" s="54"/>
      <c r="E604" s="54"/>
      <c r="F604" s="43"/>
      <c r="G604" s="55"/>
    </row>
    <row r="605">
      <c r="A605" s="52"/>
      <c r="B605" s="53"/>
      <c r="C605" s="54"/>
      <c r="D605" s="54"/>
      <c r="E605" s="54"/>
      <c r="F605" s="43"/>
      <c r="G605" s="55"/>
    </row>
    <row r="606">
      <c r="A606" s="52"/>
      <c r="B606" s="53"/>
      <c r="C606" s="54"/>
      <c r="D606" s="54"/>
      <c r="E606" s="54"/>
      <c r="F606" s="43"/>
      <c r="G606" s="55"/>
    </row>
    <row r="607">
      <c r="A607" s="52"/>
      <c r="B607" s="53"/>
      <c r="C607" s="54"/>
      <c r="D607" s="54"/>
      <c r="E607" s="54"/>
      <c r="F607" s="43"/>
      <c r="G607" s="55"/>
    </row>
    <row r="608">
      <c r="A608" s="52"/>
      <c r="B608" s="53"/>
      <c r="C608" s="54"/>
      <c r="D608" s="54"/>
      <c r="E608" s="54"/>
      <c r="F608" s="43"/>
      <c r="G608" s="55"/>
    </row>
    <row r="609">
      <c r="A609" s="52"/>
      <c r="B609" s="53"/>
      <c r="C609" s="54"/>
      <c r="D609" s="54"/>
      <c r="E609" s="54"/>
      <c r="F609" s="43"/>
      <c r="G609" s="55"/>
    </row>
    <row r="610">
      <c r="A610" s="52"/>
      <c r="B610" s="53"/>
      <c r="C610" s="54"/>
      <c r="D610" s="54"/>
      <c r="E610" s="54"/>
      <c r="F610" s="43"/>
      <c r="G610" s="55"/>
    </row>
    <row r="611">
      <c r="A611" s="52"/>
      <c r="B611" s="53"/>
      <c r="C611" s="54"/>
      <c r="D611" s="54"/>
      <c r="E611" s="54"/>
      <c r="F611" s="43"/>
      <c r="G611" s="55"/>
    </row>
    <row r="612">
      <c r="A612" s="52"/>
      <c r="B612" s="53"/>
      <c r="C612" s="54"/>
      <c r="D612" s="54"/>
      <c r="E612" s="54"/>
      <c r="F612" s="43"/>
      <c r="G612" s="55"/>
    </row>
    <row r="613">
      <c r="A613" s="52"/>
      <c r="B613" s="53"/>
      <c r="C613" s="54"/>
      <c r="D613" s="54"/>
      <c r="E613" s="54"/>
      <c r="F613" s="43"/>
      <c r="G613" s="55"/>
    </row>
    <row r="614">
      <c r="A614" s="52"/>
      <c r="B614" s="53"/>
      <c r="C614" s="54"/>
      <c r="D614" s="54"/>
      <c r="E614" s="54"/>
      <c r="F614" s="43"/>
      <c r="G614" s="55"/>
    </row>
    <row r="615">
      <c r="A615" s="52"/>
      <c r="B615" s="53"/>
      <c r="C615" s="54"/>
      <c r="D615" s="54"/>
      <c r="E615" s="54"/>
      <c r="F615" s="43"/>
      <c r="G615" s="55"/>
    </row>
    <row r="616">
      <c r="A616" s="52"/>
      <c r="B616" s="53"/>
      <c r="C616" s="54"/>
      <c r="D616" s="54"/>
      <c r="E616" s="54"/>
      <c r="F616" s="43"/>
      <c r="G616" s="55"/>
    </row>
    <row r="617">
      <c r="A617" s="52"/>
      <c r="B617" s="53"/>
      <c r="C617" s="54"/>
      <c r="D617" s="54"/>
      <c r="E617" s="54"/>
      <c r="F617" s="43"/>
      <c r="G617" s="55"/>
    </row>
    <row r="618">
      <c r="A618" s="52"/>
      <c r="B618" s="53"/>
      <c r="C618" s="54"/>
      <c r="D618" s="54"/>
      <c r="E618" s="54"/>
      <c r="F618" s="43"/>
      <c r="G618" s="55"/>
    </row>
    <row r="619">
      <c r="A619" s="52"/>
      <c r="B619" s="53"/>
      <c r="C619" s="54"/>
      <c r="D619" s="54"/>
      <c r="E619" s="54"/>
      <c r="F619" s="43"/>
      <c r="G619" s="55"/>
    </row>
    <row r="620">
      <c r="A620" s="52"/>
      <c r="B620" s="53"/>
      <c r="C620" s="54"/>
      <c r="D620" s="54"/>
      <c r="E620" s="54"/>
      <c r="F620" s="43"/>
      <c r="G620" s="55"/>
    </row>
    <row r="621">
      <c r="A621" s="52"/>
      <c r="B621" s="53"/>
      <c r="C621" s="54"/>
      <c r="D621" s="54"/>
      <c r="E621" s="54"/>
      <c r="F621" s="43"/>
      <c r="G621" s="55"/>
    </row>
    <row r="622">
      <c r="A622" s="52"/>
      <c r="B622" s="53"/>
      <c r="C622" s="54"/>
      <c r="D622" s="54"/>
      <c r="E622" s="54"/>
      <c r="F622" s="43"/>
      <c r="G622" s="55"/>
    </row>
    <row r="623">
      <c r="A623" s="52"/>
      <c r="B623" s="53"/>
      <c r="C623" s="54"/>
      <c r="D623" s="54"/>
      <c r="E623" s="54"/>
      <c r="F623" s="43"/>
      <c r="G623" s="55"/>
    </row>
    <row r="624">
      <c r="A624" s="52"/>
      <c r="B624" s="53"/>
      <c r="C624" s="54"/>
      <c r="D624" s="54"/>
      <c r="E624" s="54"/>
      <c r="F624" s="43"/>
      <c r="G624" s="55"/>
    </row>
    <row r="625">
      <c r="A625" s="52"/>
      <c r="B625" s="53"/>
      <c r="C625" s="54"/>
      <c r="D625" s="54"/>
      <c r="E625" s="54"/>
      <c r="F625" s="43"/>
      <c r="G625" s="55"/>
    </row>
    <row r="626">
      <c r="A626" s="52"/>
      <c r="B626" s="53"/>
      <c r="C626" s="54"/>
      <c r="D626" s="54"/>
      <c r="E626" s="54"/>
      <c r="F626" s="43"/>
      <c r="G626" s="55"/>
    </row>
    <row r="627">
      <c r="A627" s="52"/>
      <c r="B627" s="53"/>
      <c r="C627" s="54"/>
      <c r="D627" s="54"/>
      <c r="E627" s="54"/>
      <c r="F627" s="43"/>
      <c r="G627" s="55"/>
    </row>
    <row r="628">
      <c r="A628" s="52"/>
      <c r="B628" s="53"/>
      <c r="C628" s="54"/>
      <c r="D628" s="54"/>
      <c r="E628" s="54"/>
      <c r="F628" s="43"/>
      <c r="G628" s="55"/>
    </row>
    <row r="629">
      <c r="A629" s="52"/>
      <c r="B629" s="53"/>
      <c r="C629" s="54"/>
      <c r="D629" s="54"/>
      <c r="E629" s="54"/>
      <c r="F629" s="43"/>
      <c r="G629" s="55"/>
    </row>
    <row r="630">
      <c r="A630" s="52"/>
      <c r="B630" s="53"/>
      <c r="C630" s="54"/>
      <c r="D630" s="54"/>
      <c r="E630" s="54"/>
      <c r="F630" s="43"/>
      <c r="G630" s="55"/>
    </row>
    <row r="631">
      <c r="A631" s="52"/>
      <c r="B631" s="53"/>
      <c r="C631" s="54"/>
      <c r="D631" s="54"/>
      <c r="E631" s="54"/>
      <c r="F631" s="43"/>
      <c r="G631" s="55"/>
    </row>
    <row r="632">
      <c r="A632" s="52"/>
      <c r="B632" s="53"/>
      <c r="C632" s="54"/>
      <c r="D632" s="54"/>
      <c r="E632" s="54"/>
      <c r="F632" s="43"/>
      <c r="G632" s="55"/>
    </row>
    <row r="633">
      <c r="A633" s="52"/>
      <c r="B633" s="53"/>
      <c r="C633" s="54"/>
      <c r="D633" s="54"/>
      <c r="E633" s="54"/>
      <c r="F633" s="43"/>
      <c r="G633" s="55"/>
    </row>
    <row r="634">
      <c r="A634" s="52"/>
      <c r="B634" s="53"/>
      <c r="C634" s="54"/>
      <c r="D634" s="54"/>
      <c r="E634" s="54"/>
      <c r="F634" s="43"/>
      <c r="G634" s="55"/>
    </row>
    <row r="635">
      <c r="A635" s="52"/>
      <c r="B635" s="53"/>
      <c r="C635" s="54"/>
      <c r="D635" s="54"/>
      <c r="E635" s="54"/>
      <c r="F635" s="43"/>
      <c r="G635" s="55"/>
    </row>
    <row r="636">
      <c r="A636" s="52"/>
      <c r="B636" s="53"/>
      <c r="C636" s="54"/>
      <c r="D636" s="54"/>
      <c r="E636" s="54"/>
      <c r="F636" s="43"/>
      <c r="G636" s="55"/>
    </row>
    <row r="637">
      <c r="A637" s="52"/>
      <c r="B637" s="53"/>
      <c r="C637" s="54"/>
      <c r="D637" s="54"/>
      <c r="E637" s="54"/>
      <c r="F637" s="43"/>
      <c r="G637" s="55"/>
    </row>
    <row r="638">
      <c r="A638" s="52"/>
      <c r="B638" s="53"/>
      <c r="C638" s="54"/>
      <c r="D638" s="54"/>
      <c r="E638" s="54"/>
      <c r="F638" s="43"/>
      <c r="G638" s="55"/>
    </row>
    <row r="639">
      <c r="A639" s="52"/>
      <c r="B639" s="53"/>
      <c r="C639" s="54"/>
      <c r="D639" s="54"/>
      <c r="E639" s="54"/>
      <c r="F639" s="43"/>
      <c r="G639" s="55"/>
    </row>
    <row r="640">
      <c r="A640" s="52"/>
      <c r="B640" s="53"/>
      <c r="C640" s="54"/>
      <c r="D640" s="54"/>
      <c r="E640" s="54"/>
      <c r="F640" s="43"/>
      <c r="G640" s="55"/>
    </row>
    <row r="641">
      <c r="A641" s="52"/>
      <c r="B641" s="53"/>
      <c r="C641" s="54"/>
      <c r="D641" s="54"/>
      <c r="E641" s="54"/>
      <c r="F641" s="43"/>
      <c r="G641" s="55"/>
    </row>
    <row r="642">
      <c r="A642" s="52"/>
      <c r="B642" s="53"/>
      <c r="C642" s="54"/>
      <c r="D642" s="54"/>
      <c r="E642" s="54"/>
      <c r="F642" s="43"/>
      <c r="G642" s="55"/>
    </row>
    <row r="643">
      <c r="A643" s="52"/>
      <c r="B643" s="53"/>
      <c r="C643" s="54"/>
      <c r="D643" s="54"/>
      <c r="E643" s="54"/>
      <c r="F643" s="43"/>
      <c r="G643" s="55"/>
    </row>
    <row r="644">
      <c r="A644" s="52"/>
      <c r="B644" s="53"/>
      <c r="C644" s="54"/>
      <c r="D644" s="54"/>
      <c r="E644" s="54"/>
      <c r="F644" s="43"/>
      <c r="G644" s="55"/>
    </row>
    <row r="645">
      <c r="A645" s="52"/>
      <c r="B645" s="53"/>
      <c r="C645" s="54"/>
      <c r="D645" s="54"/>
      <c r="E645" s="54"/>
      <c r="F645" s="43"/>
      <c r="G645" s="55"/>
    </row>
    <row r="646">
      <c r="A646" s="52"/>
      <c r="B646" s="53"/>
      <c r="C646" s="54"/>
      <c r="D646" s="54"/>
      <c r="E646" s="54"/>
      <c r="F646" s="43"/>
      <c r="G646" s="55"/>
    </row>
    <row r="647">
      <c r="A647" s="52"/>
      <c r="B647" s="53"/>
      <c r="C647" s="54"/>
      <c r="D647" s="54"/>
      <c r="E647" s="54"/>
      <c r="F647" s="43"/>
      <c r="G647" s="55"/>
    </row>
    <row r="648">
      <c r="A648" s="52"/>
      <c r="B648" s="53"/>
      <c r="C648" s="54"/>
      <c r="D648" s="54"/>
      <c r="E648" s="54"/>
      <c r="F648" s="43"/>
      <c r="G648" s="55"/>
    </row>
    <row r="649">
      <c r="A649" s="52"/>
      <c r="B649" s="53"/>
      <c r="C649" s="54"/>
      <c r="D649" s="54"/>
      <c r="E649" s="54"/>
      <c r="F649" s="43"/>
      <c r="G649" s="55"/>
    </row>
    <row r="650">
      <c r="A650" s="52"/>
      <c r="B650" s="53"/>
      <c r="C650" s="54"/>
      <c r="D650" s="54"/>
      <c r="E650" s="54"/>
      <c r="F650" s="43"/>
      <c r="G650" s="55"/>
    </row>
    <row r="651">
      <c r="A651" s="52"/>
      <c r="B651" s="53"/>
      <c r="C651" s="54"/>
      <c r="D651" s="54"/>
      <c r="E651" s="54"/>
      <c r="F651" s="43"/>
      <c r="G651" s="55"/>
    </row>
    <row r="652">
      <c r="A652" s="52"/>
      <c r="B652" s="53"/>
      <c r="C652" s="54"/>
      <c r="D652" s="54"/>
      <c r="E652" s="54"/>
      <c r="F652" s="43"/>
      <c r="G652" s="55"/>
    </row>
    <row r="653">
      <c r="A653" s="52"/>
      <c r="B653" s="53"/>
      <c r="C653" s="54"/>
      <c r="D653" s="54"/>
      <c r="E653" s="54"/>
      <c r="F653" s="43"/>
      <c r="G653" s="55"/>
    </row>
    <row r="654">
      <c r="A654" s="52"/>
      <c r="B654" s="53"/>
      <c r="C654" s="54"/>
      <c r="D654" s="54"/>
      <c r="E654" s="54"/>
      <c r="F654" s="43"/>
      <c r="G654" s="55"/>
    </row>
    <row r="655">
      <c r="A655" s="52"/>
      <c r="B655" s="53"/>
      <c r="C655" s="54"/>
      <c r="D655" s="54"/>
      <c r="E655" s="54"/>
      <c r="F655" s="43"/>
      <c r="G655" s="55"/>
    </row>
    <row r="656">
      <c r="A656" s="52"/>
      <c r="B656" s="53"/>
      <c r="C656" s="54"/>
      <c r="D656" s="54"/>
      <c r="E656" s="54"/>
      <c r="F656" s="43"/>
      <c r="G656" s="55"/>
    </row>
    <row r="657">
      <c r="A657" s="52"/>
      <c r="B657" s="53"/>
      <c r="C657" s="54"/>
      <c r="D657" s="54"/>
      <c r="E657" s="54"/>
      <c r="F657" s="43"/>
      <c r="G657" s="55"/>
    </row>
    <row r="658">
      <c r="A658" s="52"/>
      <c r="B658" s="53"/>
      <c r="C658" s="54"/>
      <c r="D658" s="54"/>
      <c r="E658" s="54"/>
      <c r="F658" s="43"/>
      <c r="G658" s="55"/>
    </row>
    <row r="659">
      <c r="A659" s="52"/>
      <c r="B659" s="53"/>
      <c r="C659" s="54"/>
      <c r="D659" s="54"/>
      <c r="E659" s="54"/>
      <c r="F659" s="43"/>
      <c r="G659" s="55"/>
    </row>
    <row r="660">
      <c r="A660" s="52"/>
      <c r="B660" s="53"/>
      <c r="C660" s="54"/>
      <c r="D660" s="54"/>
      <c r="E660" s="54"/>
      <c r="F660" s="43"/>
      <c r="G660" s="55"/>
    </row>
    <row r="661">
      <c r="A661" s="52"/>
      <c r="B661" s="53"/>
      <c r="C661" s="54"/>
      <c r="D661" s="54"/>
      <c r="E661" s="54"/>
      <c r="F661" s="43"/>
      <c r="G661" s="55"/>
    </row>
    <row r="662">
      <c r="A662" s="52"/>
      <c r="B662" s="53"/>
      <c r="C662" s="54"/>
      <c r="D662" s="54"/>
      <c r="E662" s="54"/>
      <c r="F662" s="43"/>
      <c r="G662" s="55"/>
    </row>
    <row r="663">
      <c r="A663" s="52"/>
      <c r="B663" s="53"/>
      <c r="C663" s="54"/>
      <c r="D663" s="54"/>
      <c r="E663" s="54"/>
      <c r="F663" s="43"/>
      <c r="G663" s="55"/>
    </row>
    <row r="664">
      <c r="A664" s="52"/>
      <c r="B664" s="53"/>
      <c r="C664" s="54"/>
      <c r="D664" s="54"/>
      <c r="E664" s="54"/>
      <c r="F664" s="43"/>
      <c r="G664" s="55"/>
    </row>
    <row r="665">
      <c r="A665" s="52"/>
      <c r="B665" s="53"/>
      <c r="C665" s="54"/>
      <c r="D665" s="54"/>
      <c r="E665" s="54"/>
      <c r="F665" s="43"/>
      <c r="G665" s="55"/>
    </row>
    <row r="666">
      <c r="A666" s="52"/>
      <c r="B666" s="53"/>
      <c r="C666" s="54"/>
      <c r="D666" s="54"/>
      <c r="E666" s="54"/>
      <c r="F666" s="43"/>
      <c r="G666" s="55"/>
    </row>
    <row r="667">
      <c r="A667" s="52"/>
      <c r="B667" s="53"/>
      <c r="C667" s="54"/>
      <c r="D667" s="54"/>
      <c r="E667" s="54"/>
      <c r="F667" s="43"/>
      <c r="G667" s="55"/>
    </row>
    <row r="668">
      <c r="A668" s="52"/>
      <c r="B668" s="53"/>
      <c r="C668" s="54"/>
      <c r="D668" s="54"/>
      <c r="E668" s="54"/>
      <c r="F668" s="43"/>
      <c r="G668" s="55"/>
    </row>
    <row r="669">
      <c r="A669" s="52"/>
      <c r="B669" s="53"/>
      <c r="C669" s="54"/>
      <c r="D669" s="54"/>
      <c r="E669" s="54"/>
      <c r="F669" s="43"/>
      <c r="G669" s="55"/>
    </row>
    <row r="670">
      <c r="A670" s="52"/>
      <c r="B670" s="53"/>
      <c r="C670" s="54"/>
      <c r="D670" s="54"/>
      <c r="E670" s="54"/>
      <c r="F670" s="43"/>
      <c r="G670" s="55"/>
    </row>
    <row r="671">
      <c r="A671" s="52"/>
      <c r="B671" s="53"/>
      <c r="C671" s="54"/>
      <c r="D671" s="54"/>
      <c r="E671" s="54"/>
      <c r="F671" s="43"/>
      <c r="G671" s="55"/>
    </row>
    <row r="672">
      <c r="A672" s="52"/>
      <c r="B672" s="53"/>
      <c r="C672" s="54"/>
      <c r="D672" s="54"/>
      <c r="E672" s="54"/>
      <c r="F672" s="43"/>
      <c r="G672" s="55"/>
    </row>
    <row r="673">
      <c r="A673" s="52"/>
      <c r="B673" s="53"/>
      <c r="C673" s="54"/>
      <c r="D673" s="54"/>
      <c r="E673" s="54"/>
      <c r="F673" s="43"/>
      <c r="G673" s="55"/>
    </row>
    <row r="674">
      <c r="A674" s="52"/>
      <c r="B674" s="53"/>
      <c r="C674" s="54"/>
      <c r="D674" s="54"/>
      <c r="E674" s="54"/>
      <c r="F674" s="43"/>
      <c r="G674" s="55"/>
    </row>
    <row r="675">
      <c r="A675" s="52"/>
      <c r="B675" s="53"/>
      <c r="C675" s="54"/>
      <c r="D675" s="54"/>
      <c r="E675" s="54"/>
      <c r="F675" s="43"/>
      <c r="G675" s="55"/>
    </row>
    <row r="676">
      <c r="A676" s="52"/>
      <c r="B676" s="53"/>
      <c r="C676" s="54"/>
      <c r="D676" s="54"/>
      <c r="E676" s="54"/>
      <c r="F676" s="43"/>
      <c r="G676" s="55"/>
    </row>
    <row r="677">
      <c r="A677" s="52"/>
      <c r="B677" s="53"/>
      <c r="C677" s="54"/>
      <c r="D677" s="54"/>
      <c r="E677" s="54"/>
      <c r="F677" s="43"/>
      <c r="G677" s="55"/>
    </row>
    <row r="678">
      <c r="A678" s="52"/>
      <c r="B678" s="53"/>
      <c r="C678" s="54"/>
      <c r="D678" s="54"/>
      <c r="E678" s="54"/>
      <c r="F678" s="43"/>
      <c r="G678" s="55"/>
    </row>
    <row r="679">
      <c r="A679" s="52"/>
      <c r="B679" s="53"/>
      <c r="C679" s="54"/>
      <c r="D679" s="54"/>
      <c r="E679" s="54"/>
      <c r="F679" s="43"/>
      <c r="G679" s="55"/>
    </row>
    <row r="680">
      <c r="A680" s="52"/>
      <c r="B680" s="53"/>
      <c r="C680" s="54"/>
      <c r="D680" s="54"/>
      <c r="E680" s="54"/>
      <c r="F680" s="43"/>
      <c r="G680" s="55"/>
    </row>
    <row r="681">
      <c r="A681" s="52"/>
      <c r="B681" s="53"/>
      <c r="C681" s="54"/>
      <c r="D681" s="54"/>
      <c r="E681" s="54"/>
      <c r="F681" s="43"/>
      <c r="G681" s="55"/>
    </row>
    <row r="682">
      <c r="A682" s="52"/>
      <c r="B682" s="53"/>
      <c r="C682" s="54"/>
      <c r="D682" s="54"/>
      <c r="E682" s="54"/>
      <c r="F682" s="43"/>
      <c r="G682" s="55"/>
    </row>
    <row r="683">
      <c r="A683" s="52"/>
      <c r="B683" s="53"/>
      <c r="C683" s="54"/>
      <c r="D683" s="54"/>
      <c r="E683" s="54"/>
      <c r="F683" s="43"/>
      <c r="G683" s="55"/>
    </row>
    <row r="684">
      <c r="A684" s="52"/>
      <c r="B684" s="53"/>
      <c r="C684" s="54"/>
      <c r="D684" s="54"/>
      <c r="E684" s="54"/>
      <c r="F684" s="43"/>
      <c r="G684" s="55"/>
    </row>
    <row r="685">
      <c r="A685" s="52"/>
      <c r="B685" s="53"/>
      <c r="C685" s="54"/>
      <c r="D685" s="54"/>
      <c r="E685" s="54"/>
      <c r="F685" s="43"/>
      <c r="G685" s="55"/>
    </row>
    <row r="686">
      <c r="A686" s="52"/>
      <c r="B686" s="53"/>
      <c r="C686" s="54"/>
      <c r="D686" s="54"/>
      <c r="E686" s="54"/>
      <c r="F686" s="43"/>
      <c r="G686" s="55"/>
    </row>
    <row r="687">
      <c r="A687" s="52"/>
      <c r="B687" s="53"/>
      <c r="C687" s="54"/>
      <c r="D687" s="54"/>
      <c r="E687" s="54"/>
      <c r="F687" s="43"/>
      <c r="G687" s="55"/>
    </row>
    <row r="688">
      <c r="A688" s="52"/>
      <c r="B688" s="53"/>
      <c r="C688" s="54"/>
      <c r="D688" s="54"/>
      <c r="E688" s="54"/>
      <c r="F688" s="43"/>
      <c r="G688" s="55"/>
    </row>
    <row r="689">
      <c r="A689" s="52"/>
      <c r="B689" s="53"/>
      <c r="C689" s="54"/>
      <c r="D689" s="54"/>
      <c r="E689" s="54"/>
      <c r="F689" s="43"/>
      <c r="G689" s="55"/>
    </row>
    <row r="690">
      <c r="A690" s="52"/>
      <c r="B690" s="53"/>
      <c r="C690" s="54"/>
      <c r="D690" s="54"/>
      <c r="E690" s="54"/>
      <c r="F690" s="43"/>
      <c r="G690" s="55"/>
    </row>
    <row r="691">
      <c r="A691" s="52"/>
      <c r="B691" s="53"/>
      <c r="C691" s="54"/>
      <c r="D691" s="54"/>
      <c r="E691" s="54"/>
      <c r="F691" s="43"/>
      <c r="G691" s="55"/>
    </row>
    <row r="692">
      <c r="A692" s="52"/>
      <c r="B692" s="53"/>
      <c r="C692" s="54"/>
      <c r="D692" s="54"/>
      <c r="E692" s="54"/>
      <c r="F692" s="43"/>
      <c r="G692" s="55"/>
    </row>
    <row r="693">
      <c r="A693" s="52"/>
      <c r="B693" s="53"/>
      <c r="C693" s="54"/>
      <c r="D693" s="54"/>
      <c r="E693" s="54"/>
      <c r="F693" s="43"/>
      <c r="G693" s="55"/>
    </row>
    <row r="694">
      <c r="A694" s="52"/>
      <c r="B694" s="53"/>
      <c r="C694" s="54"/>
      <c r="D694" s="54"/>
      <c r="E694" s="54"/>
      <c r="F694" s="43"/>
      <c r="G694" s="55"/>
    </row>
    <row r="695">
      <c r="A695" s="52"/>
      <c r="B695" s="53"/>
      <c r="C695" s="54"/>
      <c r="D695" s="54"/>
      <c r="E695" s="54"/>
      <c r="F695" s="43"/>
      <c r="G695" s="55"/>
    </row>
    <row r="696">
      <c r="A696" s="52"/>
      <c r="B696" s="53"/>
      <c r="C696" s="54"/>
      <c r="D696" s="54"/>
      <c r="E696" s="54"/>
      <c r="F696" s="43"/>
      <c r="G696" s="55"/>
    </row>
    <row r="697">
      <c r="A697" s="52"/>
      <c r="B697" s="53"/>
      <c r="C697" s="54"/>
      <c r="D697" s="54"/>
      <c r="E697" s="54"/>
      <c r="F697" s="43"/>
      <c r="G697" s="55"/>
    </row>
    <row r="698">
      <c r="A698" s="52"/>
      <c r="B698" s="53"/>
      <c r="C698" s="54"/>
      <c r="D698" s="54"/>
      <c r="E698" s="54"/>
      <c r="F698" s="43"/>
      <c r="G698" s="55"/>
    </row>
    <row r="699">
      <c r="A699" s="52"/>
      <c r="B699" s="53"/>
      <c r="C699" s="54"/>
      <c r="D699" s="54"/>
      <c r="E699" s="54"/>
      <c r="F699" s="43"/>
      <c r="G699" s="55"/>
    </row>
    <row r="700">
      <c r="A700" s="52"/>
      <c r="B700" s="53"/>
      <c r="C700" s="54"/>
      <c r="D700" s="54"/>
      <c r="E700" s="54"/>
      <c r="F700" s="43"/>
      <c r="G700" s="55"/>
    </row>
    <row r="701">
      <c r="A701" s="52"/>
      <c r="B701" s="53"/>
      <c r="C701" s="54"/>
      <c r="D701" s="54"/>
      <c r="E701" s="54"/>
      <c r="F701" s="43"/>
      <c r="G701" s="55"/>
    </row>
    <row r="702">
      <c r="A702" s="52"/>
      <c r="B702" s="53"/>
      <c r="C702" s="54"/>
      <c r="D702" s="54"/>
      <c r="E702" s="54"/>
      <c r="F702" s="43"/>
      <c r="G702" s="55"/>
    </row>
    <row r="703">
      <c r="A703" s="52"/>
      <c r="B703" s="53"/>
      <c r="C703" s="54"/>
      <c r="D703" s="54"/>
      <c r="E703" s="54"/>
      <c r="F703" s="43"/>
      <c r="G703" s="55"/>
    </row>
    <row r="704">
      <c r="A704" s="52"/>
      <c r="B704" s="53"/>
      <c r="C704" s="54"/>
      <c r="D704" s="54"/>
      <c r="E704" s="54"/>
      <c r="F704" s="43"/>
      <c r="G704" s="55"/>
    </row>
    <row r="705">
      <c r="A705" s="52"/>
      <c r="B705" s="53"/>
      <c r="C705" s="54"/>
      <c r="D705" s="54"/>
      <c r="E705" s="54"/>
      <c r="F705" s="43"/>
      <c r="G705" s="55"/>
    </row>
    <row r="706">
      <c r="A706" s="52"/>
      <c r="B706" s="53"/>
      <c r="C706" s="54"/>
      <c r="D706" s="54"/>
      <c r="E706" s="54"/>
      <c r="F706" s="43"/>
      <c r="G706" s="55"/>
    </row>
    <row r="707">
      <c r="A707" s="52"/>
      <c r="B707" s="53"/>
      <c r="C707" s="54"/>
      <c r="D707" s="54"/>
      <c r="E707" s="54"/>
      <c r="F707" s="43"/>
      <c r="G707" s="55"/>
    </row>
    <row r="708">
      <c r="A708" s="52"/>
      <c r="B708" s="53"/>
      <c r="C708" s="54"/>
      <c r="D708" s="54"/>
      <c r="E708" s="54"/>
      <c r="F708" s="43"/>
      <c r="G708" s="55"/>
    </row>
    <row r="709">
      <c r="A709" s="52"/>
      <c r="B709" s="53"/>
      <c r="C709" s="54"/>
      <c r="D709" s="54"/>
      <c r="E709" s="54"/>
      <c r="F709" s="43"/>
      <c r="G709" s="55"/>
    </row>
    <row r="710">
      <c r="A710" s="52"/>
      <c r="B710" s="53"/>
      <c r="C710" s="54"/>
      <c r="D710" s="54"/>
      <c r="E710" s="54"/>
      <c r="F710" s="43"/>
      <c r="G710" s="55"/>
    </row>
    <row r="711">
      <c r="A711" s="52"/>
      <c r="B711" s="53"/>
      <c r="C711" s="54"/>
      <c r="D711" s="54"/>
      <c r="E711" s="54"/>
      <c r="F711" s="43"/>
      <c r="G711" s="55"/>
    </row>
    <row r="712">
      <c r="A712" s="52"/>
      <c r="B712" s="53"/>
      <c r="C712" s="54"/>
      <c r="D712" s="54"/>
      <c r="E712" s="54"/>
      <c r="F712" s="43"/>
      <c r="G712" s="55"/>
    </row>
    <row r="713">
      <c r="A713" s="52"/>
      <c r="B713" s="53"/>
      <c r="C713" s="54"/>
      <c r="D713" s="54"/>
      <c r="E713" s="54"/>
      <c r="F713" s="43"/>
      <c r="G713" s="55"/>
    </row>
    <row r="714">
      <c r="A714" s="52"/>
      <c r="B714" s="53"/>
      <c r="C714" s="54"/>
      <c r="D714" s="54"/>
      <c r="E714" s="54"/>
      <c r="F714" s="43"/>
      <c r="G714" s="55"/>
    </row>
    <row r="715">
      <c r="A715" s="52"/>
      <c r="B715" s="53"/>
      <c r="C715" s="54"/>
      <c r="D715" s="54"/>
      <c r="E715" s="54"/>
      <c r="F715" s="43"/>
      <c r="G715" s="55"/>
    </row>
    <row r="716">
      <c r="A716" s="52"/>
      <c r="B716" s="53"/>
      <c r="C716" s="54"/>
      <c r="D716" s="54"/>
      <c r="E716" s="54"/>
      <c r="F716" s="43"/>
      <c r="G716" s="55"/>
    </row>
    <row r="717">
      <c r="A717" s="52"/>
      <c r="B717" s="53"/>
      <c r="C717" s="54"/>
      <c r="D717" s="54"/>
      <c r="E717" s="54"/>
      <c r="F717" s="43"/>
      <c r="G717" s="55"/>
    </row>
    <row r="718">
      <c r="A718" s="52"/>
      <c r="B718" s="53"/>
      <c r="C718" s="54"/>
      <c r="D718" s="54"/>
      <c r="E718" s="54"/>
      <c r="F718" s="43"/>
      <c r="G718" s="55"/>
    </row>
    <row r="719">
      <c r="A719" s="52"/>
      <c r="B719" s="53"/>
      <c r="C719" s="54"/>
      <c r="D719" s="54"/>
      <c r="E719" s="54"/>
      <c r="F719" s="43"/>
      <c r="G719" s="55"/>
    </row>
    <row r="720">
      <c r="A720" s="52"/>
      <c r="B720" s="53"/>
      <c r="C720" s="54"/>
      <c r="D720" s="54"/>
      <c r="E720" s="54"/>
      <c r="F720" s="43"/>
      <c r="G720" s="55"/>
    </row>
    <row r="721">
      <c r="A721" s="52"/>
      <c r="B721" s="53"/>
      <c r="C721" s="54"/>
      <c r="D721" s="54"/>
      <c r="E721" s="54"/>
      <c r="F721" s="43"/>
      <c r="G721" s="55"/>
    </row>
    <row r="722">
      <c r="A722" s="52"/>
      <c r="B722" s="53"/>
      <c r="C722" s="54"/>
      <c r="D722" s="54"/>
      <c r="E722" s="54"/>
      <c r="F722" s="43"/>
      <c r="G722" s="55"/>
    </row>
    <row r="723">
      <c r="A723" s="52"/>
      <c r="B723" s="53"/>
      <c r="C723" s="54"/>
      <c r="D723" s="54"/>
      <c r="E723" s="54"/>
      <c r="F723" s="43"/>
      <c r="G723" s="55"/>
    </row>
    <row r="724">
      <c r="A724" s="52"/>
      <c r="B724" s="53"/>
      <c r="C724" s="54"/>
      <c r="D724" s="54"/>
      <c r="E724" s="54"/>
      <c r="F724" s="43"/>
      <c r="G724" s="55"/>
    </row>
    <row r="725">
      <c r="A725" s="52"/>
      <c r="B725" s="53"/>
      <c r="C725" s="54"/>
      <c r="D725" s="54"/>
      <c r="E725" s="54"/>
      <c r="F725" s="43"/>
      <c r="G725" s="55"/>
    </row>
    <row r="726">
      <c r="A726" s="52"/>
      <c r="B726" s="53"/>
      <c r="C726" s="54"/>
      <c r="D726" s="54"/>
      <c r="E726" s="54"/>
      <c r="F726" s="43"/>
      <c r="G726" s="55"/>
    </row>
    <row r="727">
      <c r="A727" s="52"/>
      <c r="B727" s="53"/>
      <c r="C727" s="54"/>
      <c r="D727" s="54"/>
      <c r="E727" s="54"/>
      <c r="F727" s="43"/>
      <c r="G727" s="55"/>
    </row>
    <row r="728">
      <c r="A728" s="52"/>
      <c r="B728" s="53"/>
      <c r="C728" s="54"/>
      <c r="D728" s="54"/>
      <c r="E728" s="54"/>
      <c r="F728" s="43"/>
      <c r="G728" s="55"/>
    </row>
    <row r="729">
      <c r="A729" s="52"/>
      <c r="B729" s="53"/>
      <c r="C729" s="54"/>
      <c r="D729" s="54"/>
      <c r="E729" s="54"/>
      <c r="F729" s="43"/>
      <c r="G729" s="55"/>
    </row>
    <row r="730">
      <c r="A730" s="52"/>
      <c r="B730" s="53"/>
      <c r="C730" s="54"/>
      <c r="D730" s="54"/>
      <c r="E730" s="54"/>
      <c r="F730" s="43"/>
      <c r="G730" s="55"/>
    </row>
    <row r="731">
      <c r="A731" s="52"/>
      <c r="B731" s="53"/>
      <c r="C731" s="54"/>
      <c r="D731" s="54"/>
      <c r="E731" s="54"/>
      <c r="F731" s="43"/>
      <c r="G731" s="55"/>
    </row>
    <row r="732">
      <c r="A732" s="52"/>
      <c r="B732" s="53"/>
      <c r="C732" s="54"/>
      <c r="D732" s="54"/>
      <c r="E732" s="54"/>
      <c r="F732" s="43"/>
      <c r="G732" s="55"/>
    </row>
    <row r="733">
      <c r="A733" s="52"/>
      <c r="B733" s="53"/>
      <c r="C733" s="54"/>
      <c r="D733" s="54"/>
      <c r="E733" s="54"/>
      <c r="F733" s="43"/>
      <c r="G733" s="55"/>
    </row>
    <row r="734">
      <c r="A734" s="52"/>
      <c r="B734" s="53"/>
      <c r="C734" s="54"/>
      <c r="D734" s="54"/>
      <c r="E734" s="54"/>
      <c r="F734" s="43"/>
      <c r="G734" s="55"/>
    </row>
    <row r="735">
      <c r="A735" s="52"/>
      <c r="B735" s="53"/>
      <c r="C735" s="54"/>
      <c r="D735" s="54"/>
      <c r="E735" s="54"/>
      <c r="F735" s="43"/>
      <c r="G735" s="55"/>
    </row>
    <row r="736">
      <c r="A736" s="52"/>
      <c r="B736" s="53"/>
      <c r="C736" s="54"/>
      <c r="D736" s="54"/>
      <c r="E736" s="54"/>
      <c r="F736" s="43"/>
      <c r="G736" s="55"/>
    </row>
    <row r="737">
      <c r="A737" s="52"/>
      <c r="B737" s="53"/>
      <c r="C737" s="54"/>
      <c r="D737" s="54"/>
      <c r="E737" s="54"/>
      <c r="F737" s="43"/>
      <c r="G737" s="55"/>
    </row>
    <row r="738">
      <c r="A738" s="52"/>
      <c r="B738" s="53"/>
      <c r="C738" s="54"/>
      <c r="D738" s="54"/>
      <c r="E738" s="54"/>
      <c r="F738" s="43"/>
      <c r="G738" s="55"/>
    </row>
    <row r="739">
      <c r="A739" s="52"/>
      <c r="B739" s="53"/>
      <c r="C739" s="54"/>
      <c r="D739" s="54"/>
      <c r="E739" s="54"/>
      <c r="F739" s="43"/>
      <c r="G739" s="55"/>
    </row>
    <row r="740">
      <c r="A740" s="52"/>
      <c r="B740" s="53"/>
      <c r="C740" s="54"/>
      <c r="D740" s="54"/>
      <c r="E740" s="54"/>
      <c r="F740" s="43"/>
      <c r="G740" s="55"/>
    </row>
    <row r="741">
      <c r="A741" s="52"/>
      <c r="B741" s="53"/>
      <c r="C741" s="54"/>
      <c r="D741" s="54"/>
      <c r="E741" s="54"/>
      <c r="F741" s="43"/>
      <c r="G741" s="55"/>
    </row>
    <row r="742">
      <c r="A742" s="52"/>
      <c r="B742" s="53"/>
      <c r="C742" s="54"/>
      <c r="D742" s="54"/>
      <c r="E742" s="54"/>
      <c r="F742" s="43"/>
      <c r="G742" s="55"/>
    </row>
    <row r="743">
      <c r="A743" s="52"/>
      <c r="B743" s="53"/>
      <c r="C743" s="54"/>
      <c r="D743" s="54"/>
      <c r="E743" s="54"/>
      <c r="F743" s="43"/>
      <c r="G743" s="55"/>
    </row>
    <row r="744">
      <c r="A744" s="52"/>
      <c r="B744" s="53"/>
      <c r="C744" s="54"/>
      <c r="D744" s="54"/>
      <c r="E744" s="54"/>
      <c r="F744" s="43"/>
      <c r="G744" s="55"/>
    </row>
    <row r="745">
      <c r="A745" s="52"/>
      <c r="B745" s="53"/>
      <c r="C745" s="54"/>
      <c r="D745" s="54"/>
      <c r="E745" s="54"/>
      <c r="F745" s="43"/>
      <c r="G745" s="55"/>
    </row>
    <row r="746">
      <c r="A746" s="52"/>
      <c r="B746" s="53"/>
      <c r="C746" s="54"/>
      <c r="D746" s="54"/>
      <c r="E746" s="54"/>
      <c r="F746" s="43"/>
      <c r="G746" s="55"/>
    </row>
    <row r="747">
      <c r="A747" s="52"/>
      <c r="B747" s="53"/>
      <c r="C747" s="54"/>
      <c r="D747" s="54"/>
      <c r="E747" s="54"/>
      <c r="F747" s="43"/>
      <c r="G747" s="55"/>
    </row>
    <row r="748">
      <c r="A748" s="52"/>
      <c r="B748" s="53"/>
      <c r="C748" s="54"/>
      <c r="D748" s="54"/>
      <c r="E748" s="54"/>
      <c r="F748" s="43"/>
      <c r="G748" s="55"/>
    </row>
    <row r="749">
      <c r="A749" s="52"/>
      <c r="B749" s="53"/>
      <c r="C749" s="54"/>
      <c r="D749" s="54"/>
      <c r="E749" s="54"/>
      <c r="F749" s="43"/>
      <c r="G749" s="55"/>
    </row>
    <row r="750">
      <c r="A750" s="52"/>
      <c r="B750" s="53"/>
      <c r="C750" s="54"/>
      <c r="D750" s="54"/>
      <c r="E750" s="54"/>
      <c r="F750" s="43"/>
      <c r="G750" s="55"/>
    </row>
    <row r="751">
      <c r="A751" s="52"/>
      <c r="B751" s="53"/>
      <c r="C751" s="54"/>
      <c r="D751" s="54"/>
      <c r="E751" s="54"/>
      <c r="F751" s="43"/>
      <c r="G751" s="55"/>
    </row>
    <row r="752">
      <c r="A752" s="52"/>
      <c r="B752" s="53"/>
      <c r="C752" s="54"/>
      <c r="D752" s="54"/>
      <c r="E752" s="54"/>
      <c r="F752" s="43"/>
      <c r="G752" s="55"/>
    </row>
    <row r="753">
      <c r="A753" s="52"/>
      <c r="B753" s="53"/>
      <c r="C753" s="54"/>
      <c r="D753" s="54"/>
      <c r="E753" s="54"/>
      <c r="F753" s="43"/>
      <c r="G753" s="55"/>
    </row>
    <row r="754">
      <c r="A754" s="52"/>
      <c r="B754" s="53"/>
      <c r="C754" s="54"/>
      <c r="D754" s="54"/>
      <c r="E754" s="54"/>
      <c r="F754" s="43"/>
      <c r="G754" s="55"/>
    </row>
    <row r="755">
      <c r="A755" s="52"/>
      <c r="B755" s="53"/>
      <c r="C755" s="54"/>
      <c r="D755" s="54"/>
      <c r="E755" s="54"/>
      <c r="F755" s="43"/>
      <c r="G755" s="55"/>
    </row>
    <row r="756">
      <c r="A756" s="52"/>
      <c r="B756" s="53"/>
      <c r="C756" s="54"/>
      <c r="D756" s="54"/>
      <c r="E756" s="54"/>
      <c r="F756" s="43"/>
      <c r="G756" s="55"/>
    </row>
    <row r="757">
      <c r="A757" s="52"/>
      <c r="B757" s="53"/>
      <c r="C757" s="54"/>
      <c r="D757" s="54"/>
      <c r="E757" s="54"/>
      <c r="F757" s="43"/>
      <c r="G757" s="55"/>
    </row>
    <row r="758">
      <c r="A758" s="52"/>
      <c r="B758" s="53"/>
      <c r="C758" s="54"/>
      <c r="D758" s="54"/>
      <c r="E758" s="54"/>
      <c r="F758" s="43"/>
      <c r="G758" s="55"/>
    </row>
    <row r="759">
      <c r="A759" s="52"/>
      <c r="B759" s="53"/>
      <c r="C759" s="54"/>
      <c r="D759" s="54"/>
      <c r="E759" s="54"/>
      <c r="F759" s="43"/>
      <c r="G759" s="55"/>
    </row>
    <row r="760">
      <c r="A760" s="52"/>
      <c r="B760" s="53"/>
      <c r="C760" s="54"/>
      <c r="D760" s="54"/>
      <c r="E760" s="54"/>
      <c r="F760" s="43"/>
      <c r="G760" s="55"/>
    </row>
    <row r="761">
      <c r="A761" s="52"/>
      <c r="B761" s="53"/>
      <c r="C761" s="54"/>
      <c r="D761" s="54"/>
      <c r="E761" s="54"/>
      <c r="F761" s="43"/>
      <c r="G761" s="55"/>
    </row>
    <row r="762">
      <c r="A762" s="52"/>
      <c r="B762" s="53"/>
      <c r="C762" s="54"/>
      <c r="D762" s="54"/>
      <c r="E762" s="54"/>
      <c r="F762" s="43"/>
      <c r="G762" s="55"/>
    </row>
    <row r="763">
      <c r="A763" s="52"/>
      <c r="B763" s="53"/>
      <c r="C763" s="54"/>
      <c r="D763" s="54"/>
      <c r="E763" s="54"/>
      <c r="F763" s="43"/>
      <c r="G763" s="55"/>
    </row>
    <row r="764">
      <c r="A764" s="52"/>
      <c r="B764" s="53"/>
      <c r="C764" s="54"/>
      <c r="D764" s="54"/>
      <c r="E764" s="54"/>
      <c r="F764" s="43"/>
      <c r="G764" s="55"/>
    </row>
    <row r="765">
      <c r="A765" s="52"/>
      <c r="B765" s="53"/>
      <c r="C765" s="54"/>
      <c r="D765" s="54"/>
      <c r="E765" s="54"/>
      <c r="F765" s="43"/>
      <c r="G765" s="55"/>
    </row>
    <row r="766">
      <c r="A766" s="52"/>
      <c r="B766" s="53"/>
      <c r="C766" s="54"/>
      <c r="D766" s="54"/>
      <c r="E766" s="54"/>
      <c r="F766" s="43"/>
      <c r="G766" s="55"/>
    </row>
    <row r="767">
      <c r="A767" s="52"/>
      <c r="B767" s="53"/>
      <c r="C767" s="54"/>
      <c r="D767" s="54"/>
      <c r="E767" s="54"/>
      <c r="F767" s="43"/>
      <c r="G767" s="55"/>
    </row>
    <row r="768">
      <c r="A768" s="52"/>
      <c r="B768" s="53"/>
      <c r="C768" s="54"/>
      <c r="D768" s="54"/>
      <c r="E768" s="54"/>
      <c r="F768" s="43"/>
      <c r="G768" s="55"/>
    </row>
    <row r="769">
      <c r="A769" s="52"/>
      <c r="B769" s="53"/>
      <c r="C769" s="54"/>
      <c r="D769" s="54"/>
      <c r="E769" s="54"/>
      <c r="F769" s="43"/>
      <c r="G769" s="55"/>
    </row>
    <row r="770">
      <c r="A770" s="52"/>
      <c r="B770" s="53"/>
      <c r="C770" s="54"/>
      <c r="D770" s="54"/>
      <c r="E770" s="54"/>
      <c r="F770" s="43"/>
      <c r="G770" s="55"/>
    </row>
    <row r="771">
      <c r="A771" s="52"/>
      <c r="B771" s="53"/>
      <c r="C771" s="54"/>
      <c r="D771" s="54"/>
      <c r="E771" s="54"/>
      <c r="F771" s="43"/>
      <c r="G771" s="55"/>
    </row>
    <row r="772">
      <c r="A772" s="52"/>
      <c r="B772" s="53"/>
      <c r="C772" s="54"/>
      <c r="D772" s="54"/>
      <c r="E772" s="54"/>
      <c r="F772" s="43"/>
      <c r="G772" s="55"/>
    </row>
    <row r="773">
      <c r="A773" s="52"/>
      <c r="B773" s="53"/>
      <c r="C773" s="54"/>
      <c r="D773" s="54"/>
      <c r="E773" s="54"/>
      <c r="F773" s="43"/>
      <c r="G773" s="55"/>
    </row>
    <row r="774">
      <c r="A774" s="52"/>
      <c r="B774" s="53"/>
      <c r="C774" s="54"/>
      <c r="D774" s="54"/>
      <c r="E774" s="54"/>
      <c r="F774" s="43"/>
      <c r="G774" s="55"/>
    </row>
    <row r="775">
      <c r="A775" s="52"/>
      <c r="B775" s="53"/>
      <c r="C775" s="54"/>
      <c r="D775" s="54"/>
      <c r="E775" s="54"/>
      <c r="F775" s="43"/>
      <c r="G775" s="55"/>
    </row>
    <row r="776">
      <c r="A776" s="52"/>
      <c r="B776" s="53"/>
      <c r="C776" s="54"/>
      <c r="D776" s="54"/>
      <c r="E776" s="54"/>
      <c r="F776" s="43"/>
      <c r="G776" s="55"/>
    </row>
    <row r="777">
      <c r="A777" s="52"/>
      <c r="B777" s="53"/>
      <c r="C777" s="54"/>
      <c r="D777" s="54"/>
      <c r="E777" s="54"/>
      <c r="F777" s="43"/>
      <c r="G777" s="55"/>
    </row>
    <row r="778">
      <c r="A778" s="52"/>
      <c r="B778" s="53"/>
      <c r="C778" s="54"/>
      <c r="D778" s="54"/>
      <c r="E778" s="54"/>
      <c r="F778" s="43"/>
      <c r="G778" s="55"/>
    </row>
    <row r="779">
      <c r="A779" s="52"/>
      <c r="B779" s="53"/>
      <c r="C779" s="54"/>
      <c r="D779" s="54"/>
      <c r="E779" s="54"/>
      <c r="F779" s="43"/>
      <c r="G779" s="55"/>
    </row>
    <row r="780">
      <c r="A780" s="52"/>
      <c r="B780" s="53"/>
      <c r="C780" s="54"/>
      <c r="D780" s="54"/>
      <c r="E780" s="54"/>
      <c r="F780" s="43"/>
      <c r="G780" s="55"/>
    </row>
    <row r="781">
      <c r="A781" s="52"/>
      <c r="B781" s="53"/>
      <c r="C781" s="54"/>
      <c r="D781" s="54"/>
      <c r="E781" s="54"/>
      <c r="F781" s="43"/>
      <c r="G781" s="55"/>
    </row>
    <row r="782">
      <c r="A782" s="52"/>
      <c r="B782" s="53"/>
      <c r="C782" s="54"/>
      <c r="D782" s="54"/>
      <c r="E782" s="54"/>
      <c r="F782" s="43"/>
      <c r="G782" s="55"/>
    </row>
    <row r="783">
      <c r="A783" s="52"/>
      <c r="B783" s="53"/>
      <c r="C783" s="54"/>
      <c r="D783" s="54"/>
      <c r="E783" s="54"/>
      <c r="F783" s="43"/>
      <c r="G783" s="55"/>
    </row>
    <row r="784">
      <c r="A784" s="52"/>
      <c r="B784" s="53"/>
      <c r="C784" s="54"/>
      <c r="D784" s="54"/>
      <c r="E784" s="54"/>
      <c r="F784" s="43"/>
      <c r="G784" s="55"/>
    </row>
    <row r="785">
      <c r="A785" s="52"/>
      <c r="B785" s="53"/>
      <c r="C785" s="54"/>
      <c r="D785" s="54"/>
      <c r="E785" s="54"/>
      <c r="F785" s="43"/>
      <c r="G785" s="55"/>
    </row>
    <row r="786">
      <c r="A786" s="52"/>
      <c r="B786" s="53"/>
      <c r="C786" s="54"/>
      <c r="D786" s="54"/>
      <c r="E786" s="54"/>
      <c r="F786" s="43"/>
      <c r="G786" s="55"/>
    </row>
    <row r="787">
      <c r="A787" s="52"/>
      <c r="B787" s="53"/>
      <c r="C787" s="54"/>
      <c r="D787" s="54"/>
      <c r="E787" s="54"/>
      <c r="F787" s="43"/>
      <c r="G787" s="55"/>
    </row>
    <row r="788">
      <c r="A788" s="52"/>
      <c r="B788" s="53"/>
      <c r="C788" s="54"/>
      <c r="D788" s="54"/>
      <c r="E788" s="54"/>
      <c r="F788" s="43"/>
      <c r="G788" s="55"/>
    </row>
    <row r="789">
      <c r="A789" s="52"/>
      <c r="B789" s="53"/>
      <c r="C789" s="54"/>
      <c r="D789" s="54"/>
      <c r="E789" s="54"/>
      <c r="F789" s="43"/>
      <c r="G789" s="55"/>
    </row>
    <row r="790">
      <c r="A790" s="52"/>
      <c r="B790" s="53"/>
      <c r="C790" s="54"/>
      <c r="D790" s="54"/>
      <c r="E790" s="54"/>
      <c r="F790" s="43"/>
      <c r="G790" s="55"/>
    </row>
    <row r="791">
      <c r="A791" s="52"/>
      <c r="B791" s="53"/>
      <c r="C791" s="54"/>
      <c r="D791" s="54"/>
      <c r="E791" s="54"/>
      <c r="F791" s="43"/>
      <c r="G791" s="55"/>
    </row>
    <row r="792">
      <c r="A792" s="52"/>
      <c r="B792" s="53"/>
      <c r="C792" s="54"/>
      <c r="D792" s="54"/>
      <c r="E792" s="54"/>
      <c r="F792" s="43"/>
      <c r="G792" s="55"/>
    </row>
    <row r="793">
      <c r="A793" s="52"/>
      <c r="B793" s="53"/>
      <c r="C793" s="54"/>
      <c r="D793" s="54"/>
      <c r="E793" s="54"/>
      <c r="F793" s="43"/>
      <c r="G793" s="55"/>
    </row>
    <row r="794">
      <c r="A794" s="52"/>
      <c r="B794" s="53"/>
      <c r="C794" s="54"/>
      <c r="D794" s="54"/>
      <c r="E794" s="54"/>
      <c r="F794" s="43"/>
      <c r="G794" s="55"/>
    </row>
    <row r="795">
      <c r="A795" s="52"/>
      <c r="B795" s="53"/>
      <c r="C795" s="54"/>
      <c r="D795" s="54"/>
      <c r="E795" s="54"/>
      <c r="F795" s="43"/>
      <c r="G795" s="55"/>
    </row>
    <row r="796">
      <c r="A796" s="52"/>
      <c r="B796" s="53"/>
      <c r="C796" s="54"/>
      <c r="D796" s="54"/>
      <c r="E796" s="54"/>
      <c r="F796" s="43"/>
      <c r="G796" s="55"/>
    </row>
    <row r="797">
      <c r="A797" s="52"/>
      <c r="B797" s="53"/>
      <c r="C797" s="54"/>
      <c r="D797" s="54"/>
      <c r="E797" s="54"/>
      <c r="F797" s="43"/>
      <c r="G797" s="55"/>
    </row>
    <row r="798">
      <c r="A798" s="52"/>
      <c r="B798" s="53"/>
      <c r="C798" s="54"/>
      <c r="D798" s="54"/>
      <c r="E798" s="54"/>
      <c r="F798" s="43"/>
      <c r="G798" s="55"/>
    </row>
    <row r="799">
      <c r="A799" s="52"/>
      <c r="B799" s="53"/>
      <c r="C799" s="54"/>
      <c r="D799" s="54"/>
      <c r="E799" s="54"/>
      <c r="F799" s="43"/>
      <c r="G799" s="55"/>
    </row>
    <row r="800">
      <c r="A800" s="52"/>
      <c r="B800" s="53"/>
      <c r="C800" s="54"/>
      <c r="D800" s="54"/>
      <c r="E800" s="54"/>
      <c r="F800" s="43"/>
      <c r="G800" s="55"/>
    </row>
    <row r="801">
      <c r="A801" s="52"/>
      <c r="B801" s="53"/>
      <c r="C801" s="54"/>
      <c r="D801" s="54"/>
      <c r="E801" s="54"/>
      <c r="F801" s="43"/>
      <c r="G801" s="55"/>
    </row>
    <row r="802">
      <c r="A802" s="52"/>
      <c r="B802" s="53"/>
      <c r="C802" s="54"/>
      <c r="D802" s="54"/>
      <c r="E802" s="54"/>
      <c r="F802" s="43"/>
      <c r="G802" s="55"/>
    </row>
    <row r="803">
      <c r="A803" s="52"/>
      <c r="B803" s="53"/>
      <c r="C803" s="54"/>
      <c r="D803" s="54"/>
      <c r="E803" s="54"/>
      <c r="F803" s="43"/>
      <c r="G803" s="55"/>
    </row>
    <row r="804">
      <c r="A804" s="52"/>
      <c r="B804" s="53"/>
      <c r="C804" s="54"/>
      <c r="D804" s="54"/>
      <c r="E804" s="54"/>
      <c r="F804" s="43"/>
      <c r="G804" s="55"/>
    </row>
    <row r="805">
      <c r="A805" s="52"/>
      <c r="B805" s="53"/>
      <c r="C805" s="54"/>
      <c r="D805" s="54"/>
      <c r="E805" s="54"/>
      <c r="F805" s="43"/>
      <c r="G805" s="55"/>
    </row>
    <row r="806">
      <c r="A806" s="52"/>
      <c r="B806" s="53"/>
      <c r="C806" s="54"/>
      <c r="D806" s="54"/>
      <c r="E806" s="54"/>
      <c r="F806" s="43"/>
      <c r="G806" s="55"/>
    </row>
    <row r="807">
      <c r="A807" s="52"/>
      <c r="B807" s="53"/>
      <c r="C807" s="54"/>
      <c r="D807" s="54"/>
      <c r="E807" s="54"/>
      <c r="F807" s="43"/>
      <c r="G807" s="55"/>
    </row>
    <row r="808">
      <c r="A808" s="52"/>
      <c r="B808" s="53"/>
      <c r="C808" s="54"/>
      <c r="D808" s="54"/>
      <c r="E808" s="54"/>
      <c r="F808" s="43"/>
      <c r="G808" s="55"/>
    </row>
    <row r="809">
      <c r="A809" s="52"/>
      <c r="B809" s="53"/>
      <c r="C809" s="54"/>
      <c r="D809" s="54"/>
      <c r="E809" s="54"/>
      <c r="F809" s="43"/>
      <c r="G809" s="55"/>
    </row>
    <row r="810">
      <c r="A810" s="52"/>
      <c r="B810" s="53"/>
      <c r="C810" s="54"/>
      <c r="D810" s="54"/>
      <c r="E810" s="54"/>
      <c r="F810" s="43"/>
      <c r="G810" s="55"/>
    </row>
    <row r="811">
      <c r="A811" s="52"/>
      <c r="B811" s="53"/>
      <c r="C811" s="54"/>
      <c r="D811" s="54"/>
      <c r="E811" s="54"/>
      <c r="F811" s="43"/>
      <c r="G811" s="55"/>
    </row>
    <row r="812">
      <c r="A812" s="52"/>
      <c r="B812" s="53"/>
      <c r="C812" s="54"/>
      <c r="D812" s="54"/>
      <c r="E812" s="54"/>
      <c r="F812" s="43"/>
      <c r="G812" s="55"/>
    </row>
    <row r="813">
      <c r="A813" s="52"/>
      <c r="B813" s="53"/>
      <c r="C813" s="54"/>
      <c r="D813" s="54"/>
      <c r="E813" s="54"/>
      <c r="F813" s="43"/>
      <c r="G813" s="55"/>
    </row>
    <row r="814">
      <c r="A814" s="52"/>
      <c r="B814" s="53"/>
      <c r="C814" s="54"/>
      <c r="D814" s="54"/>
      <c r="E814" s="54"/>
      <c r="F814" s="43"/>
      <c r="G814" s="55"/>
    </row>
    <row r="815">
      <c r="A815" s="52"/>
      <c r="B815" s="53"/>
      <c r="C815" s="54"/>
      <c r="D815" s="54"/>
      <c r="E815" s="54"/>
      <c r="F815" s="43"/>
      <c r="G815" s="55"/>
    </row>
    <row r="816">
      <c r="A816" s="52"/>
      <c r="B816" s="53"/>
      <c r="C816" s="54"/>
      <c r="D816" s="54"/>
      <c r="E816" s="54"/>
      <c r="F816" s="43"/>
      <c r="G816" s="55"/>
    </row>
    <row r="817">
      <c r="A817" s="52"/>
      <c r="B817" s="53"/>
      <c r="C817" s="54"/>
      <c r="D817" s="54"/>
      <c r="E817" s="54"/>
      <c r="F817" s="43"/>
      <c r="G817" s="55"/>
    </row>
    <row r="818">
      <c r="A818" s="52"/>
      <c r="B818" s="53"/>
      <c r="C818" s="54"/>
      <c r="D818" s="54"/>
      <c r="E818" s="54"/>
      <c r="F818" s="43"/>
      <c r="G818" s="55"/>
    </row>
    <row r="819">
      <c r="A819" s="52"/>
      <c r="B819" s="53"/>
      <c r="C819" s="54"/>
      <c r="D819" s="54"/>
      <c r="E819" s="54"/>
      <c r="F819" s="43"/>
      <c r="G819" s="55"/>
    </row>
    <row r="820">
      <c r="A820" s="52"/>
      <c r="B820" s="53"/>
      <c r="C820" s="54"/>
      <c r="D820" s="54"/>
      <c r="E820" s="54"/>
      <c r="F820" s="43"/>
      <c r="G820" s="55"/>
    </row>
    <row r="821">
      <c r="A821" s="52"/>
      <c r="B821" s="53"/>
      <c r="C821" s="54"/>
      <c r="D821" s="54"/>
      <c r="E821" s="54"/>
      <c r="F821" s="43"/>
      <c r="G821" s="55"/>
    </row>
    <row r="822">
      <c r="A822" s="52"/>
      <c r="B822" s="53"/>
      <c r="C822" s="54"/>
      <c r="D822" s="54"/>
      <c r="E822" s="54"/>
      <c r="F822" s="43"/>
      <c r="G822" s="55"/>
    </row>
    <row r="823">
      <c r="A823" s="52"/>
      <c r="B823" s="53"/>
      <c r="C823" s="54"/>
      <c r="D823" s="54"/>
      <c r="E823" s="54"/>
      <c r="F823" s="43"/>
      <c r="G823" s="55"/>
    </row>
    <row r="824">
      <c r="A824" s="52"/>
      <c r="B824" s="53"/>
      <c r="C824" s="54"/>
      <c r="D824" s="54"/>
      <c r="E824" s="54"/>
      <c r="F824" s="43"/>
      <c r="G824" s="55"/>
    </row>
    <row r="825">
      <c r="A825" s="52"/>
      <c r="B825" s="53"/>
      <c r="C825" s="54"/>
      <c r="D825" s="54"/>
      <c r="E825" s="54"/>
      <c r="F825" s="43"/>
      <c r="G825" s="55"/>
    </row>
    <row r="826">
      <c r="A826" s="52"/>
      <c r="B826" s="53"/>
      <c r="C826" s="54"/>
      <c r="D826" s="54"/>
      <c r="E826" s="54"/>
      <c r="F826" s="43"/>
      <c r="G826" s="55"/>
    </row>
    <row r="827">
      <c r="A827" s="52"/>
      <c r="B827" s="53"/>
      <c r="C827" s="54"/>
      <c r="D827" s="54"/>
      <c r="E827" s="54"/>
      <c r="F827" s="43"/>
      <c r="G827" s="55"/>
    </row>
    <row r="828">
      <c r="A828" s="52"/>
      <c r="B828" s="53"/>
      <c r="C828" s="54"/>
      <c r="D828" s="54"/>
      <c r="E828" s="54"/>
      <c r="F828" s="43"/>
      <c r="G828" s="55"/>
    </row>
    <row r="829">
      <c r="A829" s="52"/>
      <c r="B829" s="53"/>
      <c r="C829" s="54"/>
      <c r="D829" s="54"/>
      <c r="E829" s="54"/>
      <c r="F829" s="43"/>
      <c r="G829" s="55"/>
    </row>
    <row r="830">
      <c r="A830" s="52"/>
      <c r="B830" s="53"/>
      <c r="C830" s="54"/>
      <c r="D830" s="54"/>
      <c r="E830" s="54"/>
      <c r="F830" s="43"/>
      <c r="G830" s="55"/>
    </row>
    <row r="831">
      <c r="A831" s="52"/>
      <c r="B831" s="53"/>
      <c r="C831" s="54"/>
      <c r="D831" s="54"/>
      <c r="E831" s="54"/>
      <c r="F831" s="43"/>
      <c r="G831" s="55"/>
    </row>
    <row r="832">
      <c r="A832" s="52"/>
      <c r="B832" s="53"/>
      <c r="C832" s="54"/>
      <c r="D832" s="54"/>
      <c r="E832" s="54"/>
      <c r="F832" s="43"/>
      <c r="G832" s="55"/>
    </row>
    <row r="833">
      <c r="A833" s="52"/>
      <c r="B833" s="53"/>
      <c r="C833" s="54"/>
      <c r="D833" s="54"/>
      <c r="E833" s="54"/>
      <c r="F833" s="43"/>
      <c r="G833" s="55"/>
    </row>
    <row r="834">
      <c r="A834" s="52"/>
      <c r="B834" s="53"/>
      <c r="C834" s="54"/>
      <c r="D834" s="54"/>
      <c r="E834" s="54"/>
      <c r="F834" s="43"/>
      <c r="G834" s="55"/>
    </row>
    <row r="835">
      <c r="A835" s="52"/>
      <c r="B835" s="53"/>
      <c r="C835" s="54"/>
      <c r="D835" s="54"/>
      <c r="E835" s="54"/>
      <c r="F835" s="43"/>
      <c r="G835" s="55"/>
    </row>
    <row r="836">
      <c r="A836" s="52"/>
      <c r="B836" s="53"/>
      <c r="C836" s="54"/>
      <c r="D836" s="54"/>
      <c r="E836" s="54"/>
      <c r="F836" s="43"/>
      <c r="G836" s="55"/>
    </row>
    <row r="837">
      <c r="A837" s="52"/>
      <c r="B837" s="53"/>
      <c r="C837" s="54"/>
      <c r="D837" s="54"/>
      <c r="E837" s="54"/>
      <c r="F837" s="43"/>
      <c r="G837" s="55"/>
    </row>
    <row r="838">
      <c r="A838" s="52"/>
      <c r="B838" s="53"/>
      <c r="C838" s="54"/>
      <c r="D838" s="54"/>
      <c r="E838" s="54"/>
      <c r="F838" s="43"/>
      <c r="G838" s="55"/>
    </row>
    <row r="839">
      <c r="A839" s="52"/>
      <c r="B839" s="53"/>
      <c r="C839" s="54"/>
      <c r="D839" s="54"/>
      <c r="E839" s="54"/>
      <c r="F839" s="43"/>
      <c r="G839" s="55"/>
    </row>
    <row r="840">
      <c r="A840" s="52"/>
      <c r="B840" s="53"/>
      <c r="C840" s="54"/>
      <c r="D840" s="54"/>
      <c r="E840" s="54"/>
      <c r="F840" s="43"/>
      <c r="G840" s="55"/>
    </row>
    <row r="841">
      <c r="A841" s="52"/>
      <c r="B841" s="53"/>
      <c r="C841" s="54"/>
      <c r="D841" s="54"/>
      <c r="E841" s="54"/>
      <c r="F841" s="43"/>
      <c r="G841" s="55"/>
    </row>
    <row r="842">
      <c r="A842" s="52"/>
      <c r="B842" s="53"/>
      <c r="C842" s="54"/>
      <c r="D842" s="54"/>
      <c r="E842" s="54"/>
      <c r="F842" s="43"/>
      <c r="G842" s="55"/>
    </row>
    <row r="843">
      <c r="A843" s="52"/>
      <c r="B843" s="53"/>
      <c r="C843" s="54"/>
      <c r="D843" s="54"/>
      <c r="E843" s="54"/>
      <c r="F843" s="43"/>
      <c r="G843" s="55"/>
    </row>
    <row r="844">
      <c r="A844" s="52"/>
      <c r="B844" s="53"/>
      <c r="C844" s="54"/>
      <c r="D844" s="54"/>
      <c r="E844" s="54"/>
      <c r="F844" s="43"/>
      <c r="G844" s="55"/>
    </row>
    <row r="845">
      <c r="A845" s="52"/>
      <c r="B845" s="53"/>
      <c r="C845" s="54"/>
      <c r="D845" s="54"/>
      <c r="E845" s="54"/>
      <c r="F845" s="43"/>
      <c r="G845" s="55"/>
    </row>
    <row r="846">
      <c r="A846" s="52"/>
      <c r="B846" s="53"/>
      <c r="C846" s="54"/>
      <c r="D846" s="54"/>
      <c r="E846" s="54"/>
      <c r="F846" s="43"/>
      <c r="G846" s="55"/>
    </row>
    <row r="847">
      <c r="A847" s="52"/>
      <c r="B847" s="53"/>
      <c r="C847" s="54"/>
      <c r="D847" s="54"/>
      <c r="E847" s="54"/>
      <c r="F847" s="43"/>
      <c r="G847" s="55"/>
    </row>
    <row r="848">
      <c r="A848" s="52"/>
      <c r="B848" s="53"/>
      <c r="C848" s="54"/>
      <c r="D848" s="54"/>
      <c r="E848" s="54"/>
      <c r="F848" s="43"/>
      <c r="G848" s="55"/>
    </row>
    <row r="849">
      <c r="A849" s="52"/>
      <c r="B849" s="53"/>
      <c r="C849" s="54"/>
      <c r="D849" s="54"/>
      <c r="E849" s="54"/>
      <c r="F849" s="43"/>
      <c r="G849" s="55"/>
    </row>
    <row r="850">
      <c r="A850" s="52"/>
      <c r="B850" s="53"/>
      <c r="C850" s="54"/>
      <c r="D850" s="54"/>
      <c r="E850" s="54"/>
      <c r="F850" s="43"/>
      <c r="G850" s="55"/>
    </row>
    <row r="851">
      <c r="A851" s="52"/>
      <c r="B851" s="53"/>
      <c r="C851" s="54"/>
      <c r="D851" s="54"/>
      <c r="E851" s="54"/>
      <c r="F851" s="43"/>
      <c r="G851" s="55"/>
    </row>
    <row r="852">
      <c r="A852" s="52"/>
      <c r="B852" s="53"/>
      <c r="C852" s="54"/>
      <c r="D852" s="54"/>
      <c r="E852" s="54"/>
      <c r="F852" s="43"/>
      <c r="G852" s="55"/>
    </row>
    <row r="853">
      <c r="A853" s="52"/>
      <c r="B853" s="53"/>
      <c r="C853" s="54"/>
      <c r="D853" s="54"/>
      <c r="E853" s="54"/>
      <c r="F853" s="43"/>
      <c r="G853" s="55"/>
    </row>
    <row r="854">
      <c r="A854" s="52"/>
      <c r="B854" s="53"/>
      <c r="C854" s="54"/>
      <c r="D854" s="54"/>
      <c r="E854" s="54"/>
      <c r="F854" s="43"/>
      <c r="G854" s="55"/>
    </row>
    <row r="855">
      <c r="A855" s="52"/>
      <c r="B855" s="53"/>
      <c r="C855" s="54"/>
      <c r="D855" s="54"/>
      <c r="E855" s="54"/>
      <c r="F855" s="43"/>
      <c r="G855" s="55"/>
    </row>
    <row r="856">
      <c r="A856" s="52"/>
      <c r="B856" s="53"/>
      <c r="C856" s="54"/>
      <c r="D856" s="54"/>
      <c r="E856" s="54"/>
      <c r="F856" s="43"/>
      <c r="G856" s="55"/>
    </row>
    <row r="857">
      <c r="A857" s="52"/>
      <c r="B857" s="53"/>
      <c r="C857" s="54"/>
      <c r="D857" s="54"/>
      <c r="E857" s="54"/>
      <c r="F857" s="43"/>
      <c r="G857" s="55"/>
    </row>
    <row r="858">
      <c r="A858" s="52"/>
      <c r="B858" s="53"/>
      <c r="C858" s="54"/>
      <c r="D858" s="54"/>
      <c r="E858" s="54"/>
      <c r="F858" s="43"/>
      <c r="G858" s="55"/>
    </row>
    <row r="859">
      <c r="A859" s="52"/>
      <c r="B859" s="53"/>
      <c r="C859" s="54"/>
      <c r="D859" s="54"/>
      <c r="E859" s="54"/>
      <c r="F859" s="43"/>
      <c r="G859" s="55"/>
    </row>
    <row r="860">
      <c r="A860" s="52"/>
      <c r="B860" s="53"/>
      <c r="C860" s="54"/>
      <c r="D860" s="54"/>
      <c r="E860" s="54"/>
      <c r="F860" s="43"/>
      <c r="G860" s="55"/>
    </row>
    <row r="861">
      <c r="A861" s="52"/>
      <c r="B861" s="53"/>
      <c r="C861" s="54"/>
      <c r="D861" s="54"/>
      <c r="E861" s="54"/>
      <c r="F861" s="43"/>
      <c r="G861" s="55"/>
    </row>
    <row r="862">
      <c r="A862" s="52"/>
      <c r="B862" s="53"/>
      <c r="C862" s="54"/>
      <c r="D862" s="54"/>
      <c r="E862" s="54"/>
      <c r="F862" s="43"/>
      <c r="G862" s="55"/>
    </row>
    <row r="863">
      <c r="A863" s="52"/>
      <c r="B863" s="53"/>
      <c r="C863" s="54"/>
      <c r="D863" s="54"/>
      <c r="E863" s="54"/>
      <c r="F863" s="43"/>
      <c r="G863" s="55"/>
    </row>
    <row r="864">
      <c r="A864" s="52"/>
      <c r="B864" s="53"/>
      <c r="C864" s="54"/>
      <c r="D864" s="54"/>
      <c r="E864" s="54"/>
      <c r="F864" s="43"/>
      <c r="G864" s="55"/>
    </row>
    <row r="865">
      <c r="A865" s="52"/>
      <c r="B865" s="53"/>
      <c r="C865" s="54"/>
      <c r="D865" s="54"/>
      <c r="E865" s="54"/>
      <c r="F865" s="43"/>
      <c r="G865" s="55"/>
    </row>
    <row r="866">
      <c r="A866" s="52"/>
      <c r="B866" s="53"/>
      <c r="C866" s="54"/>
      <c r="D866" s="54"/>
      <c r="E866" s="54"/>
      <c r="F866" s="43"/>
      <c r="G866" s="55"/>
    </row>
    <row r="867">
      <c r="A867" s="52"/>
      <c r="B867" s="53"/>
      <c r="C867" s="54"/>
      <c r="D867" s="54"/>
      <c r="E867" s="54"/>
      <c r="F867" s="43"/>
      <c r="G867" s="55"/>
    </row>
    <row r="868">
      <c r="A868" s="52"/>
      <c r="B868" s="53"/>
      <c r="C868" s="54"/>
      <c r="D868" s="54"/>
      <c r="E868" s="54"/>
      <c r="F868" s="43"/>
      <c r="G868" s="55"/>
    </row>
    <row r="869">
      <c r="A869" s="52"/>
      <c r="B869" s="53"/>
      <c r="C869" s="54"/>
      <c r="D869" s="54"/>
      <c r="E869" s="54"/>
      <c r="F869" s="43"/>
      <c r="G869" s="55"/>
    </row>
    <row r="870">
      <c r="A870" s="52"/>
      <c r="B870" s="53"/>
      <c r="C870" s="54"/>
      <c r="D870" s="54"/>
      <c r="E870" s="54"/>
      <c r="F870" s="43"/>
      <c r="G870" s="55"/>
    </row>
    <row r="871">
      <c r="A871" s="52"/>
      <c r="B871" s="53"/>
      <c r="C871" s="54"/>
      <c r="D871" s="54"/>
      <c r="E871" s="54"/>
      <c r="F871" s="43"/>
      <c r="G871" s="55"/>
    </row>
    <row r="872">
      <c r="A872" s="52"/>
      <c r="B872" s="53"/>
      <c r="C872" s="54"/>
      <c r="D872" s="54"/>
      <c r="E872" s="54"/>
      <c r="F872" s="43"/>
      <c r="G872" s="55"/>
    </row>
    <row r="873">
      <c r="A873" s="52"/>
      <c r="B873" s="53"/>
      <c r="C873" s="54"/>
      <c r="D873" s="54"/>
      <c r="E873" s="54"/>
      <c r="F873" s="43"/>
      <c r="G873" s="55"/>
    </row>
    <row r="874">
      <c r="A874" s="52"/>
      <c r="B874" s="53"/>
      <c r="C874" s="54"/>
      <c r="D874" s="54"/>
      <c r="E874" s="54"/>
      <c r="F874" s="43"/>
      <c r="G874" s="55"/>
    </row>
    <row r="875">
      <c r="A875" s="52"/>
      <c r="B875" s="53"/>
      <c r="C875" s="54"/>
      <c r="D875" s="54"/>
      <c r="E875" s="54"/>
      <c r="F875" s="43"/>
      <c r="G875" s="55"/>
    </row>
    <row r="876">
      <c r="A876" s="52"/>
      <c r="B876" s="53"/>
      <c r="C876" s="54"/>
      <c r="D876" s="54"/>
      <c r="E876" s="54"/>
      <c r="F876" s="43"/>
      <c r="G876" s="55"/>
    </row>
    <row r="877">
      <c r="A877" s="52"/>
      <c r="B877" s="53"/>
      <c r="C877" s="54"/>
      <c r="D877" s="54"/>
      <c r="E877" s="54"/>
      <c r="F877" s="43"/>
      <c r="G877" s="55"/>
    </row>
    <row r="878">
      <c r="A878" s="52"/>
      <c r="B878" s="53"/>
      <c r="C878" s="54"/>
      <c r="D878" s="54"/>
      <c r="E878" s="54"/>
      <c r="F878" s="43"/>
      <c r="G878" s="55"/>
    </row>
    <row r="879">
      <c r="A879" s="52"/>
      <c r="B879" s="53"/>
      <c r="C879" s="54"/>
      <c r="D879" s="54"/>
      <c r="E879" s="54"/>
      <c r="F879" s="43"/>
      <c r="G879" s="55"/>
    </row>
    <row r="880">
      <c r="A880" s="52"/>
      <c r="B880" s="53"/>
      <c r="C880" s="54"/>
      <c r="D880" s="54"/>
      <c r="E880" s="54"/>
      <c r="F880" s="43"/>
      <c r="G880" s="55"/>
    </row>
    <row r="881">
      <c r="A881" s="52"/>
      <c r="B881" s="53"/>
      <c r="C881" s="54"/>
      <c r="D881" s="54"/>
      <c r="E881" s="54"/>
      <c r="F881" s="43"/>
      <c r="G881" s="55"/>
    </row>
    <row r="882">
      <c r="A882" s="52"/>
      <c r="B882" s="53"/>
      <c r="C882" s="54"/>
      <c r="D882" s="54"/>
      <c r="E882" s="54"/>
      <c r="F882" s="43"/>
      <c r="G882" s="55"/>
    </row>
    <row r="883">
      <c r="A883" s="52"/>
      <c r="B883" s="53"/>
      <c r="C883" s="54"/>
      <c r="D883" s="54"/>
      <c r="E883" s="54"/>
      <c r="F883" s="43"/>
      <c r="G883" s="55"/>
    </row>
    <row r="884">
      <c r="A884" s="52"/>
      <c r="B884" s="53"/>
      <c r="C884" s="54"/>
      <c r="D884" s="54"/>
      <c r="E884" s="54"/>
      <c r="F884" s="43"/>
      <c r="G884" s="55"/>
    </row>
    <row r="885">
      <c r="A885" s="52"/>
      <c r="B885" s="53"/>
      <c r="C885" s="54"/>
      <c r="D885" s="54"/>
      <c r="E885" s="54"/>
      <c r="F885" s="43"/>
      <c r="G885" s="55"/>
    </row>
    <row r="886">
      <c r="A886" s="52"/>
      <c r="B886" s="53"/>
      <c r="C886" s="54"/>
      <c r="D886" s="54"/>
      <c r="E886" s="54"/>
      <c r="F886" s="43"/>
      <c r="G886" s="55"/>
    </row>
    <row r="887">
      <c r="A887" s="52"/>
      <c r="B887" s="53"/>
      <c r="C887" s="54"/>
      <c r="D887" s="54"/>
      <c r="E887" s="54"/>
      <c r="F887" s="43"/>
      <c r="G887" s="55"/>
    </row>
    <row r="888">
      <c r="A888" s="52"/>
      <c r="B888" s="53"/>
      <c r="C888" s="54"/>
      <c r="D888" s="54"/>
      <c r="E888" s="54"/>
      <c r="F888" s="43"/>
      <c r="G888" s="55"/>
    </row>
    <row r="889">
      <c r="A889" s="52"/>
      <c r="B889" s="53"/>
      <c r="C889" s="54"/>
      <c r="D889" s="54"/>
      <c r="E889" s="54"/>
      <c r="F889" s="43"/>
      <c r="G889" s="55"/>
    </row>
    <row r="890">
      <c r="A890" s="52"/>
      <c r="B890" s="53"/>
      <c r="C890" s="54"/>
      <c r="D890" s="54"/>
      <c r="E890" s="54"/>
      <c r="F890" s="43"/>
      <c r="G890" s="55"/>
    </row>
    <row r="891">
      <c r="A891" s="52"/>
      <c r="B891" s="53"/>
      <c r="C891" s="54"/>
      <c r="D891" s="54"/>
      <c r="E891" s="54"/>
      <c r="F891" s="43"/>
      <c r="G891" s="55"/>
    </row>
    <row r="892">
      <c r="A892" s="52"/>
      <c r="B892" s="53"/>
      <c r="C892" s="54"/>
      <c r="D892" s="54"/>
      <c r="E892" s="54"/>
      <c r="F892" s="43"/>
      <c r="G892" s="55"/>
    </row>
    <row r="893">
      <c r="A893" s="52"/>
      <c r="B893" s="53"/>
      <c r="C893" s="54"/>
      <c r="D893" s="54"/>
      <c r="E893" s="54"/>
      <c r="F893" s="43"/>
      <c r="G893" s="55"/>
    </row>
    <row r="894">
      <c r="A894" s="52"/>
      <c r="B894" s="53"/>
      <c r="C894" s="54"/>
      <c r="D894" s="54"/>
      <c r="E894" s="54"/>
      <c r="F894" s="43"/>
      <c r="G894" s="55"/>
    </row>
    <row r="895">
      <c r="A895" s="52"/>
      <c r="B895" s="53"/>
      <c r="C895" s="54"/>
      <c r="D895" s="54"/>
      <c r="E895" s="54"/>
      <c r="F895" s="43"/>
      <c r="G895" s="55"/>
    </row>
    <row r="896">
      <c r="A896" s="52"/>
      <c r="B896" s="53"/>
      <c r="C896" s="54"/>
      <c r="D896" s="54"/>
      <c r="E896" s="54"/>
      <c r="F896" s="43"/>
      <c r="G896" s="55"/>
    </row>
    <row r="897">
      <c r="A897" s="52"/>
      <c r="B897" s="53"/>
      <c r="C897" s="54"/>
      <c r="D897" s="54"/>
      <c r="E897" s="54"/>
      <c r="F897" s="43"/>
      <c r="G897" s="55"/>
    </row>
    <row r="898">
      <c r="A898" s="52"/>
      <c r="B898" s="53"/>
      <c r="C898" s="54"/>
      <c r="D898" s="54"/>
      <c r="E898" s="54"/>
      <c r="F898" s="43"/>
      <c r="G898" s="55"/>
    </row>
    <row r="899">
      <c r="A899" s="52"/>
      <c r="B899" s="53"/>
      <c r="C899" s="54"/>
      <c r="D899" s="54"/>
      <c r="E899" s="54"/>
      <c r="F899" s="43"/>
      <c r="G899" s="55"/>
    </row>
    <row r="900">
      <c r="A900" s="52"/>
      <c r="B900" s="53"/>
      <c r="C900" s="54"/>
      <c r="D900" s="54"/>
      <c r="E900" s="54"/>
      <c r="F900" s="43"/>
      <c r="G900" s="55"/>
    </row>
    <row r="901">
      <c r="A901" s="52"/>
      <c r="B901" s="53"/>
      <c r="C901" s="54"/>
      <c r="D901" s="54"/>
      <c r="E901" s="54"/>
      <c r="F901" s="43"/>
      <c r="G901" s="55"/>
    </row>
    <row r="902">
      <c r="A902" s="52"/>
      <c r="B902" s="53"/>
      <c r="C902" s="54"/>
      <c r="D902" s="54"/>
      <c r="E902" s="54"/>
      <c r="F902" s="43"/>
      <c r="G902" s="55"/>
    </row>
    <row r="903">
      <c r="A903" s="52"/>
      <c r="B903" s="53"/>
      <c r="C903" s="54"/>
      <c r="D903" s="54"/>
      <c r="E903" s="54"/>
      <c r="F903" s="43"/>
      <c r="G903" s="55"/>
    </row>
    <row r="904">
      <c r="A904" s="52"/>
      <c r="B904" s="53"/>
      <c r="C904" s="54"/>
      <c r="D904" s="54"/>
      <c r="E904" s="54"/>
      <c r="F904" s="43"/>
      <c r="G904" s="55"/>
    </row>
    <row r="905">
      <c r="A905" s="52"/>
      <c r="B905" s="53"/>
      <c r="C905" s="54"/>
      <c r="D905" s="54"/>
      <c r="E905" s="54"/>
      <c r="F905" s="43"/>
      <c r="G905" s="55"/>
    </row>
    <row r="906">
      <c r="A906" s="52"/>
      <c r="B906" s="53"/>
      <c r="C906" s="54"/>
      <c r="D906" s="54"/>
      <c r="E906" s="54"/>
      <c r="F906" s="43"/>
      <c r="G906" s="55"/>
    </row>
    <row r="907">
      <c r="A907" s="52"/>
      <c r="B907" s="53"/>
      <c r="C907" s="54"/>
      <c r="D907" s="54"/>
      <c r="E907" s="54"/>
      <c r="F907" s="43"/>
      <c r="G907" s="55"/>
    </row>
    <row r="908">
      <c r="A908" s="52"/>
      <c r="B908" s="53"/>
      <c r="C908" s="54"/>
      <c r="D908" s="54"/>
      <c r="E908" s="54"/>
      <c r="F908" s="43"/>
      <c r="G908" s="55"/>
    </row>
    <row r="909">
      <c r="A909" s="52"/>
      <c r="B909" s="53"/>
      <c r="C909" s="54"/>
      <c r="D909" s="54"/>
      <c r="E909" s="54"/>
      <c r="F909" s="43"/>
      <c r="G909" s="55"/>
    </row>
    <row r="910">
      <c r="A910" s="52"/>
      <c r="B910" s="53"/>
      <c r="C910" s="54"/>
      <c r="D910" s="54"/>
      <c r="E910" s="54"/>
      <c r="F910" s="43"/>
      <c r="G910" s="55"/>
    </row>
    <row r="911">
      <c r="A911" s="52"/>
      <c r="B911" s="53"/>
      <c r="C911" s="54"/>
      <c r="D911" s="54"/>
      <c r="E911" s="54"/>
      <c r="F911" s="43"/>
      <c r="G911" s="55"/>
    </row>
    <row r="912">
      <c r="A912" s="52"/>
      <c r="B912" s="53"/>
      <c r="C912" s="54"/>
      <c r="D912" s="54"/>
      <c r="E912" s="54"/>
      <c r="F912" s="43"/>
      <c r="G912" s="55"/>
    </row>
    <row r="913">
      <c r="A913" s="52"/>
      <c r="B913" s="53"/>
      <c r="C913" s="54"/>
      <c r="D913" s="54"/>
      <c r="E913" s="54"/>
      <c r="F913" s="43"/>
      <c r="G913" s="55"/>
    </row>
    <row r="914">
      <c r="A914" s="52"/>
      <c r="B914" s="53"/>
      <c r="C914" s="54"/>
      <c r="D914" s="54"/>
      <c r="E914" s="54"/>
      <c r="F914" s="43"/>
      <c r="G914" s="55"/>
    </row>
    <row r="915">
      <c r="A915" s="52"/>
      <c r="B915" s="53"/>
      <c r="C915" s="54"/>
      <c r="D915" s="54"/>
      <c r="E915" s="54"/>
      <c r="F915" s="43"/>
      <c r="G915" s="55"/>
    </row>
    <row r="916">
      <c r="A916" s="52"/>
      <c r="B916" s="53"/>
      <c r="C916" s="54"/>
      <c r="D916" s="54"/>
      <c r="E916" s="54"/>
      <c r="F916" s="43"/>
      <c r="G916" s="55"/>
    </row>
    <row r="917">
      <c r="A917" s="52"/>
      <c r="B917" s="53"/>
      <c r="C917" s="54"/>
      <c r="D917" s="54"/>
      <c r="E917" s="54"/>
      <c r="F917" s="43"/>
      <c r="G917" s="55"/>
    </row>
    <row r="918">
      <c r="A918" s="52"/>
      <c r="B918" s="53"/>
      <c r="C918" s="54"/>
      <c r="D918" s="54"/>
      <c r="E918" s="54"/>
      <c r="F918" s="43"/>
      <c r="G918" s="55"/>
    </row>
    <row r="919">
      <c r="A919" s="52"/>
      <c r="B919" s="53"/>
      <c r="C919" s="54"/>
      <c r="D919" s="54"/>
      <c r="E919" s="54"/>
      <c r="F919" s="43"/>
      <c r="G919" s="55"/>
    </row>
    <row r="920">
      <c r="A920" s="52"/>
      <c r="B920" s="53"/>
      <c r="C920" s="54"/>
      <c r="D920" s="54"/>
      <c r="E920" s="54"/>
      <c r="F920" s="43"/>
      <c r="G920" s="55"/>
    </row>
    <row r="921">
      <c r="A921" s="52"/>
      <c r="B921" s="53"/>
      <c r="C921" s="54"/>
      <c r="D921" s="54"/>
      <c r="E921" s="54"/>
      <c r="F921" s="43"/>
      <c r="G921" s="55"/>
    </row>
    <row r="922">
      <c r="A922" s="52"/>
      <c r="B922" s="53"/>
      <c r="C922" s="54"/>
      <c r="D922" s="54"/>
      <c r="E922" s="54"/>
      <c r="F922" s="43"/>
      <c r="G922" s="55"/>
    </row>
    <row r="923">
      <c r="A923" s="52"/>
      <c r="B923" s="53"/>
      <c r="C923" s="54"/>
      <c r="D923" s="54"/>
      <c r="E923" s="54"/>
      <c r="F923" s="43"/>
      <c r="G923" s="55"/>
    </row>
    <row r="924">
      <c r="A924" s="52"/>
      <c r="B924" s="53"/>
      <c r="C924" s="54"/>
      <c r="D924" s="54"/>
      <c r="E924" s="54"/>
      <c r="F924" s="43"/>
      <c r="G924" s="55"/>
    </row>
    <row r="925">
      <c r="A925" s="52"/>
      <c r="B925" s="53"/>
      <c r="C925" s="54"/>
      <c r="D925" s="54"/>
      <c r="E925" s="54"/>
      <c r="F925" s="43"/>
      <c r="G925" s="55"/>
    </row>
    <row r="926">
      <c r="A926" s="52"/>
      <c r="B926" s="53"/>
      <c r="C926" s="54"/>
      <c r="D926" s="54"/>
      <c r="E926" s="54"/>
      <c r="F926" s="43"/>
      <c r="G926" s="55"/>
    </row>
    <row r="927">
      <c r="A927" s="52"/>
      <c r="B927" s="53"/>
      <c r="C927" s="54"/>
      <c r="D927" s="54"/>
      <c r="E927" s="54"/>
      <c r="F927" s="43"/>
      <c r="G927" s="55"/>
    </row>
    <row r="928">
      <c r="A928" s="52"/>
      <c r="B928" s="53"/>
      <c r="C928" s="54"/>
      <c r="D928" s="54"/>
      <c r="E928" s="54"/>
      <c r="F928" s="43"/>
      <c r="G928" s="55"/>
    </row>
    <row r="929">
      <c r="A929" s="52"/>
      <c r="B929" s="53"/>
      <c r="C929" s="54"/>
      <c r="D929" s="54"/>
      <c r="E929" s="54"/>
      <c r="F929" s="43"/>
      <c r="G929" s="55"/>
    </row>
    <row r="930">
      <c r="A930" s="52"/>
      <c r="B930" s="53"/>
      <c r="C930" s="54"/>
      <c r="D930" s="54"/>
      <c r="E930" s="54"/>
      <c r="F930" s="43"/>
      <c r="G930" s="55"/>
    </row>
    <row r="931">
      <c r="A931" s="52"/>
      <c r="B931" s="53"/>
      <c r="C931" s="54"/>
      <c r="D931" s="54"/>
      <c r="E931" s="54"/>
      <c r="F931" s="43"/>
      <c r="G931" s="55"/>
    </row>
    <row r="932">
      <c r="A932" s="52"/>
      <c r="B932" s="53"/>
      <c r="C932" s="54"/>
      <c r="D932" s="54"/>
      <c r="E932" s="54"/>
      <c r="F932" s="43"/>
      <c r="G932" s="55"/>
    </row>
    <row r="933">
      <c r="A933" s="52"/>
      <c r="B933" s="53"/>
      <c r="C933" s="54"/>
      <c r="D933" s="54"/>
      <c r="E933" s="54"/>
      <c r="F933" s="43"/>
      <c r="G933" s="55"/>
    </row>
    <row r="934">
      <c r="A934" s="52"/>
      <c r="B934" s="53"/>
      <c r="C934" s="54"/>
      <c r="D934" s="54"/>
      <c r="E934" s="54"/>
      <c r="F934" s="43"/>
      <c r="G934" s="55"/>
    </row>
    <row r="935">
      <c r="A935" s="52"/>
      <c r="B935" s="53"/>
      <c r="C935" s="54"/>
      <c r="D935" s="54"/>
      <c r="E935" s="54"/>
      <c r="F935" s="43"/>
      <c r="G935" s="55"/>
    </row>
    <row r="936">
      <c r="A936" s="52"/>
      <c r="B936" s="53"/>
      <c r="C936" s="54"/>
      <c r="D936" s="54"/>
      <c r="E936" s="54"/>
      <c r="F936" s="43"/>
      <c r="G936" s="55"/>
    </row>
    <row r="937">
      <c r="A937" s="52"/>
      <c r="B937" s="53"/>
      <c r="C937" s="54"/>
      <c r="D937" s="54"/>
      <c r="E937" s="54"/>
      <c r="F937" s="43"/>
      <c r="G937" s="55"/>
    </row>
    <row r="938">
      <c r="A938" s="52"/>
      <c r="B938" s="53"/>
      <c r="C938" s="54"/>
      <c r="D938" s="54"/>
      <c r="E938" s="54"/>
      <c r="F938" s="43"/>
      <c r="G938" s="55"/>
    </row>
    <row r="939">
      <c r="A939" s="52"/>
      <c r="B939" s="53"/>
      <c r="C939" s="54"/>
      <c r="D939" s="54"/>
      <c r="E939" s="54"/>
      <c r="F939" s="43"/>
      <c r="G939" s="55"/>
    </row>
    <row r="940">
      <c r="A940" s="52"/>
      <c r="B940" s="53"/>
      <c r="C940" s="54"/>
      <c r="D940" s="54"/>
      <c r="E940" s="54"/>
      <c r="F940" s="43"/>
      <c r="G940" s="55"/>
    </row>
    <row r="941">
      <c r="A941" s="52"/>
      <c r="B941" s="53"/>
      <c r="C941" s="54"/>
      <c r="D941" s="54"/>
      <c r="E941" s="54"/>
      <c r="F941" s="43"/>
      <c r="G941" s="55"/>
    </row>
    <row r="942">
      <c r="A942" s="52"/>
      <c r="B942" s="53"/>
      <c r="C942" s="54"/>
      <c r="D942" s="54"/>
      <c r="E942" s="54"/>
      <c r="F942" s="43"/>
      <c r="G942" s="55"/>
    </row>
    <row r="943">
      <c r="A943" s="52"/>
      <c r="B943" s="53"/>
      <c r="C943" s="54"/>
      <c r="D943" s="54"/>
      <c r="E943" s="54"/>
      <c r="F943" s="43"/>
      <c r="G943" s="55"/>
    </row>
    <row r="944">
      <c r="A944" s="52"/>
      <c r="B944" s="53"/>
      <c r="C944" s="54"/>
      <c r="D944" s="54"/>
      <c r="E944" s="54"/>
      <c r="F944" s="43"/>
      <c r="G944" s="55"/>
    </row>
    <row r="945">
      <c r="A945" s="52"/>
      <c r="B945" s="53"/>
      <c r="C945" s="54"/>
      <c r="D945" s="54"/>
      <c r="E945" s="54"/>
      <c r="F945" s="43"/>
      <c r="G945" s="55"/>
    </row>
    <row r="946">
      <c r="A946" s="52"/>
      <c r="B946" s="53"/>
      <c r="C946" s="54"/>
      <c r="D946" s="54"/>
      <c r="E946" s="54"/>
      <c r="F946" s="43"/>
      <c r="G946" s="55"/>
    </row>
    <row r="947">
      <c r="A947" s="52"/>
      <c r="B947" s="53"/>
      <c r="C947" s="54"/>
      <c r="D947" s="54"/>
      <c r="E947" s="54"/>
      <c r="F947" s="43"/>
      <c r="G947" s="55"/>
    </row>
    <row r="948">
      <c r="A948" s="52"/>
      <c r="B948" s="53"/>
      <c r="C948" s="54"/>
      <c r="D948" s="54"/>
      <c r="E948" s="54"/>
      <c r="F948" s="43"/>
      <c r="G948" s="55"/>
    </row>
    <row r="949">
      <c r="A949" s="52"/>
      <c r="B949" s="53"/>
      <c r="C949" s="54"/>
      <c r="D949" s="54"/>
      <c r="E949" s="54"/>
      <c r="F949" s="43"/>
      <c r="G949" s="55"/>
    </row>
    <row r="950">
      <c r="A950" s="52"/>
      <c r="B950" s="53"/>
      <c r="C950" s="54"/>
      <c r="D950" s="54"/>
      <c r="E950" s="54"/>
      <c r="F950" s="43"/>
      <c r="G950" s="55"/>
    </row>
    <row r="951">
      <c r="A951" s="52"/>
      <c r="B951" s="53"/>
      <c r="C951" s="54"/>
      <c r="D951" s="54"/>
      <c r="E951" s="54"/>
      <c r="F951" s="43"/>
      <c r="G951" s="55"/>
    </row>
    <row r="952">
      <c r="A952" s="52"/>
      <c r="B952" s="53"/>
      <c r="C952" s="54"/>
      <c r="D952" s="54"/>
      <c r="E952" s="54"/>
      <c r="F952" s="43"/>
      <c r="G952" s="55"/>
    </row>
    <row r="953">
      <c r="A953" s="52"/>
      <c r="B953" s="53"/>
      <c r="C953" s="54"/>
      <c r="D953" s="54"/>
      <c r="E953" s="54"/>
      <c r="F953" s="43"/>
      <c r="G953" s="55"/>
    </row>
    <row r="954">
      <c r="A954" s="52"/>
      <c r="B954" s="53"/>
      <c r="C954" s="54"/>
      <c r="D954" s="54"/>
      <c r="E954" s="54"/>
      <c r="F954" s="43"/>
      <c r="G954" s="55"/>
    </row>
    <row r="955">
      <c r="A955" s="52"/>
      <c r="B955" s="53"/>
      <c r="C955" s="54"/>
      <c r="D955" s="54"/>
      <c r="E955" s="54"/>
      <c r="F955" s="43"/>
      <c r="G955" s="55"/>
    </row>
    <row r="956">
      <c r="A956" s="52"/>
      <c r="B956" s="53"/>
      <c r="C956" s="54"/>
      <c r="D956" s="54"/>
      <c r="E956" s="54"/>
      <c r="F956" s="43"/>
      <c r="G956" s="55"/>
    </row>
    <row r="957">
      <c r="A957" s="52"/>
      <c r="B957" s="53"/>
      <c r="C957" s="54"/>
      <c r="D957" s="54"/>
      <c r="E957" s="54"/>
      <c r="F957" s="43"/>
      <c r="G957" s="55"/>
    </row>
    <row r="958">
      <c r="A958" s="52"/>
      <c r="B958" s="53"/>
      <c r="C958" s="54"/>
      <c r="D958" s="54"/>
      <c r="E958" s="54"/>
      <c r="F958" s="43"/>
      <c r="G958" s="55"/>
    </row>
    <row r="959">
      <c r="A959" s="52"/>
      <c r="B959" s="53"/>
      <c r="C959" s="54"/>
      <c r="D959" s="54"/>
      <c r="E959" s="54"/>
      <c r="F959" s="43"/>
      <c r="G959" s="55"/>
    </row>
    <row r="960">
      <c r="A960" s="52"/>
      <c r="B960" s="53"/>
      <c r="C960" s="54"/>
      <c r="D960" s="54"/>
      <c r="E960" s="54"/>
      <c r="F960" s="43"/>
      <c r="G960" s="55"/>
    </row>
    <row r="961">
      <c r="A961" s="52"/>
      <c r="B961" s="53"/>
      <c r="C961" s="54"/>
      <c r="D961" s="54"/>
      <c r="E961" s="54"/>
      <c r="F961" s="43"/>
      <c r="G961" s="55"/>
    </row>
    <row r="962">
      <c r="A962" s="52"/>
      <c r="B962" s="53"/>
      <c r="C962" s="54"/>
      <c r="D962" s="54"/>
      <c r="E962" s="54"/>
      <c r="F962" s="43"/>
      <c r="G962" s="55"/>
    </row>
    <row r="963">
      <c r="A963" s="52"/>
      <c r="B963" s="53"/>
      <c r="C963" s="54"/>
      <c r="D963" s="54"/>
      <c r="E963" s="54"/>
      <c r="F963" s="43"/>
      <c r="G963" s="55"/>
    </row>
    <row r="964">
      <c r="A964" s="52"/>
      <c r="B964" s="53"/>
      <c r="C964" s="54"/>
      <c r="D964" s="54"/>
      <c r="E964" s="54"/>
      <c r="F964" s="43"/>
      <c r="G964" s="55"/>
    </row>
    <row r="965">
      <c r="A965" s="52"/>
      <c r="B965" s="53"/>
      <c r="C965" s="54"/>
      <c r="D965" s="54"/>
      <c r="E965" s="54"/>
      <c r="F965" s="43"/>
      <c r="G965" s="55"/>
    </row>
    <row r="966">
      <c r="A966" s="52"/>
      <c r="B966" s="53"/>
      <c r="C966" s="54"/>
      <c r="D966" s="54"/>
      <c r="E966" s="54"/>
      <c r="F966" s="43"/>
      <c r="G966" s="55"/>
    </row>
    <row r="967">
      <c r="A967" s="52"/>
      <c r="B967" s="53"/>
      <c r="C967" s="54"/>
      <c r="D967" s="54"/>
      <c r="E967" s="54"/>
      <c r="F967" s="43"/>
      <c r="G967" s="55"/>
    </row>
    <row r="968">
      <c r="A968" s="52"/>
      <c r="B968" s="53"/>
      <c r="C968" s="54"/>
      <c r="D968" s="54"/>
      <c r="E968" s="54"/>
      <c r="F968" s="43"/>
      <c r="G968" s="55"/>
    </row>
    <row r="969">
      <c r="A969" s="52"/>
      <c r="B969" s="53"/>
      <c r="C969" s="54"/>
      <c r="D969" s="54"/>
      <c r="E969" s="54"/>
      <c r="F969" s="43"/>
      <c r="G969" s="55"/>
    </row>
    <row r="970">
      <c r="A970" s="52"/>
      <c r="B970" s="53"/>
      <c r="C970" s="54"/>
      <c r="D970" s="54"/>
      <c r="E970" s="54"/>
      <c r="F970" s="43"/>
      <c r="G970" s="55"/>
    </row>
    <row r="971">
      <c r="A971" s="52"/>
      <c r="B971" s="53"/>
      <c r="C971" s="54"/>
      <c r="D971" s="54"/>
      <c r="E971" s="54"/>
      <c r="F971" s="43"/>
      <c r="G971" s="55"/>
    </row>
    <row r="972">
      <c r="A972" s="52"/>
      <c r="B972" s="53"/>
      <c r="C972" s="54"/>
      <c r="D972" s="54"/>
      <c r="E972" s="54"/>
      <c r="F972" s="43"/>
      <c r="G972" s="55"/>
    </row>
    <row r="973">
      <c r="A973" s="52"/>
      <c r="B973" s="53"/>
      <c r="C973" s="54"/>
      <c r="D973" s="54"/>
      <c r="E973" s="54"/>
      <c r="F973" s="43"/>
      <c r="G973" s="55"/>
    </row>
    <row r="974">
      <c r="A974" s="52"/>
      <c r="B974" s="53"/>
      <c r="C974" s="54"/>
      <c r="D974" s="54"/>
      <c r="E974" s="54"/>
      <c r="F974" s="43"/>
      <c r="G974" s="55"/>
    </row>
    <row r="975">
      <c r="A975" s="52"/>
      <c r="B975" s="53"/>
      <c r="C975" s="54"/>
      <c r="D975" s="54"/>
      <c r="E975" s="54"/>
      <c r="F975" s="43"/>
      <c r="G975" s="55"/>
    </row>
    <row r="976">
      <c r="A976" s="52"/>
      <c r="B976" s="53"/>
      <c r="C976" s="54"/>
      <c r="D976" s="54"/>
      <c r="E976" s="54"/>
      <c r="F976" s="43"/>
      <c r="G976" s="55"/>
    </row>
    <row r="977">
      <c r="A977" s="52"/>
      <c r="B977" s="53"/>
      <c r="C977" s="54"/>
      <c r="D977" s="54"/>
      <c r="E977" s="54"/>
      <c r="F977" s="43"/>
      <c r="G977" s="55"/>
    </row>
    <row r="978">
      <c r="A978" s="52"/>
      <c r="B978" s="53"/>
      <c r="C978" s="54"/>
      <c r="D978" s="54"/>
      <c r="E978" s="54"/>
      <c r="F978" s="43"/>
      <c r="G978" s="55"/>
    </row>
    <row r="979">
      <c r="A979" s="52"/>
      <c r="B979" s="53"/>
      <c r="C979" s="54"/>
      <c r="D979" s="54"/>
      <c r="E979" s="54"/>
      <c r="F979" s="43"/>
      <c r="G979" s="55"/>
    </row>
    <row r="980">
      <c r="A980" s="52"/>
      <c r="B980" s="53"/>
      <c r="C980" s="54"/>
      <c r="D980" s="54"/>
      <c r="E980" s="54"/>
      <c r="F980" s="43"/>
      <c r="G980" s="55"/>
    </row>
    <row r="981">
      <c r="A981" s="52"/>
      <c r="B981" s="53"/>
      <c r="C981" s="54"/>
      <c r="D981" s="54"/>
      <c r="E981" s="54"/>
      <c r="F981" s="43"/>
      <c r="G981" s="55"/>
    </row>
    <row r="982">
      <c r="A982" s="52"/>
      <c r="B982" s="53"/>
      <c r="C982" s="54"/>
      <c r="D982" s="54"/>
      <c r="E982" s="54"/>
      <c r="F982" s="43"/>
      <c r="G982" s="55"/>
    </row>
    <row r="983">
      <c r="A983" s="52"/>
      <c r="B983" s="53"/>
      <c r="C983" s="54"/>
      <c r="D983" s="54"/>
      <c r="E983" s="54"/>
      <c r="F983" s="43"/>
      <c r="G983" s="55"/>
    </row>
    <row r="984">
      <c r="A984" s="52"/>
      <c r="B984" s="53"/>
      <c r="C984" s="54"/>
      <c r="D984" s="54"/>
      <c r="E984" s="54"/>
      <c r="F984" s="43"/>
      <c r="G984" s="55"/>
    </row>
    <row r="985">
      <c r="A985" s="52"/>
      <c r="B985" s="53"/>
      <c r="C985" s="54"/>
      <c r="D985" s="54"/>
      <c r="E985" s="54"/>
      <c r="F985" s="43"/>
      <c r="G985" s="55"/>
    </row>
    <row r="986">
      <c r="A986" s="52"/>
      <c r="B986" s="53"/>
      <c r="C986" s="54"/>
      <c r="D986" s="54"/>
      <c r="E986" s="54"/>
      <c r="F986" s="43"/>
      <c r="G986" s="55"/>
    </row>
    <row r="987">
      <c r="A987" s="52"/>
      <c r="B987" s="53"/>
      <c r="C987" s="54"/>
      <c r="D987" s="54"/>
      <c r="E987" s="54"/>
      <c r="F987" s="43"/>
      <c r="G987" s="55"/>
    </row>
    <row r="988">
      <c r="A988" s="52"/>
      <c r="B988" s="53"/>
      <c r="C988" s="54"/>
      <c r="D988" s="54"/>
      <c r="E988" s="54"/>
      <c r="F988" s="43"/>
      <c r="G988" s="55"/>
    </row>
    <row r="989">
      <c r="A989" s="52"/>
      <c r="B989" s="53"/>
      <c r="C989" s="54"/>
      <c r="D989" s="54"/>
      <c r="E989" s="54"/>
      <c r="F989" s="43"/>
      <c r="G989" s="55"/>
    </row>
    <row r="990">
      <c r="A990" s="52"/>
      <c r="B990" s="53"/>
      <c r="C990" s="54"/>
      <c r="D990" s="54"/>
      <c r="E990" s="54"/>
      <c r="F990" s="43"/>
      <c r="G990" s="55"/>
    </row>
    <row r="991">
      <c r="A991" s="52"/>
      <c r="B991" s="53"/>
      <c r="C991" s="54"/>
      <c r="D991" s="54"/>
      <c r="E991" s="54"/>
      <c r="F991" s="43"/>
      <c r="G991" s="55"/>
    </row>
    <row r="992">
      <c r="A992" s="52"/>
      <c r="B992" s="53"/>
      <c r="C992" s="54"/>
      <c r="D992" s="54"/>
      <c r="E992" s="54"/>
      <c r="F992" s="43"/>
      <c r="G992" s="55"/>
    </row>
    <row r="993">
      <c r="A993" s="52"/>
      <c r="B993" s="53"/>
      <c r="C993" s="54"/>
      <c r="D993" s="54"/>
      <c r="E993" s="54"/>
      <c r="F993" s="43"/>
      <c r="G993" s="55"/>
    </row>
    <row r="994">
      <c r="A994" s="52"/>
      <c r="B994" s="53"/>
      <c r="C994" s="54"/>
      <c r="D994" s="54"/>
      <c r="E994" s="54"/>
      <c r="F994" s="43"/>
      <c r="G994" s="55"/>
    </row>
    <row r="995">
      <c r="A995" s="52"/>
      <c r="B995" s="53"/>
      <c r="C995" s="54"/>
      <c r="D995" s="54"/>
      <c r="E995" s="54"/>
      <c r="F995" s="43"/>
      <c r="G995" s="55"/>
    </row>
    <row r="996">
      <c r="A996" s="52"/>
      <c r="B996" s="53"/>
      <c r="C996" s="54"/>
      <c r="D996" s="54"/>
      <c r="E996" s="54"/>
      <c r="F996" s="43"/>
      <c r="G996" s="55"/>
    </row>
    <row r="997">
      <c r="A997" s="52"/>
      <c r="B997" s="53"/>
      <c r="C997" s="54"/>
      <c r="D997" s="54"/>
      <c r="E997" s="54"/>
      <c r="F997" s="43"/>
      <c r="G997" s="55"/>
    </row>
    <row r="998">
      <c r="A998" s="52"/>
      <c r="B998" s="53"/>
      <c r="C998" s="54"/>
      <c r="D998" s="54"/>
      <c r="E998" s="54"/>
      <c r="F998" s="43"/>
      <c r="G998" s="55"/>
    </row>
    <row r="999">
      <c r="A999" s="52"/>
      <c r="B999" s="53"/>
      <c r="C999" s="54"/>
      <c r="D999" s="54"/>
      <c r="E999" s="54"/>
      <c r="F999" s="43"/>
      <c r="G999" s="55"/>
    </row>
    <row r="1000">
      <c r="A1000" s="52"/>
      <c r="B1000" s="53"/>
      <c r="C1000" s="54"/>
      <c r="D1000" s="54"/>
      <c r="E1000" s="54"/>
      <c r="F1000" s="43"/>
      <c r="G1000" s="55"/>
    </row>
    <row r="1001">
      <c r="A1001" s="52"/>
      <c r="B1001" s="53"/>
      <c r="C1001" s="54"/>
      <c r="D1001" s="54"/>
      <c r="E1001" s="54"/>
      <c r="F1001" s="43"/>
      <c r="G1001" s="55"/>
    </row>
    <row r="1002">
      <c r="A1002" s="52"/>
      <c r="B1002" s="53"/>
      <c r="C1002" s="54"/>
      <c r="D1002" s="54"/>
      <c r="E1002" s="54"/>
      <c r="F1002" s="43"/>
      <c r="G1002" s="55"/>
    </row>
    <row r="1003">
      <c r="A1003" s="52"/>
      <c r="B1003" s="53"/>
      <c r="C1003" s="54"/>
      <c r="D1003" s="54"/>
      <c r="E1003" s="54"/>
      <c r="F1003" s="43"/>
      <c r="G1003" s="55"/>
    </row>
    <row r="1004">
      <c r="A1004" s="52"/>
      <c r="B1004" s="53"/>
      <c r="C1004" s="54"/>
      <c r="D1004" s="54"/>
      <c r="E1004" s="54"/>
      <c r="F1004" s="43"/>
      <c r="G1004" s="55"/>
    </row>
    <row r="1005">
      <c r="A1005" s="52"/>
      <c r="B1005" s="53"/>
      <c r="C1005" s="54"/>
      <c r="D1005" s="54"/>
      <c r="E1005" s="54"/>
      <c r="F1005" s="43"/>
      <c r="G1005" s="55"/>
    </row>
    <row r="1006">
      <c r="A1006" s="52"/>
      <c r="B1006" s="53"/>
      <c r="C1006" s="54"/>
      <c r="D1006" s="54"/>
      <c r="E1006" s="54"/>
      <c r="F1006" s="43"/>
      <c r="G1006" s="55"/>
    </row>
    <row r="1007">
      <c r="A1007" s="52"/>
      <c r="B1007" s="53"/>
      <c r="C1007" s="54"/>
      <c r="D1007" s="54"/>
      <c r="E1007" s="54"/>
      <c r="F1007" s="43"/>
      <c r="G1007" s="55"/>
    </row>
    <row r="1008">
      <c r="A1008" s="52"/>
      <c r="B1008" s="53"/>
      <c r="C1008" s="54"/>
      <c r="D1008" s="54"/>
      <c r="E1008" s="54"/>
      <c r="F1008" s="43"/>
      <c r="G1008" s="55"/>
    </row>
    <row r="1009">
      <c r="A1009" s="52"/>
      <c r="B1009" s="53"/>
      <c r="C1009" s="54"/>
      <c r="D1009" s="54"/>
      <c r="E1009" s="54"/>
      <c r="F1009" s="43"/>
      <c r="G1009" s="55"/>
    </row>
    <row r="1010">
      <c r="A1010" s="52"/>
      <c r="B1010" s="53"/>
      <c r="C1010" s="54"/>
      <c r="D1010" s="54"/>
      <c r="E1010" s="54"/>
      <c r="F1010" s="43"/>
      <c r="G1010" s="55"/>
    </row>
  </sheetData>
  <mergeCells count="3">
    <mergeCell ref="B1:C3"/>
    <mergeCell ref="D1:E3"/>
    <mergeCell ref="B5:G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hidden="1" min="1" max="1" width="12.63"/>
    <col customWidth="1" min="3" max="3" width="9.88"/>
    <col customWidth="1" min="5" max="5" width="11.25"/>
    <col customWidth="1" min="9" max="9" width="36.63"/>
    <col customWidth="1" hidden="1" min="10" max="10" width="19.25"/>
  </cols>
  <sheetData>
    <row r="1">
      <c r="B1" s="87"/>
      <c r="C1" s="87"/>
      <c r="D1" s="88"/>
      <c r="E1" s="88"/>
      <c r="F1" s="88"/>
      <c r="G1" s="88"/>
      <c r="H1" s="89"/>
      <c r="J1" s="88"/>
    </row>
    <row r="2">
      <c r="B2" s="90" t="s">
        <v>145</v>
      </c>
      <c r="C2" s="49"/>
      <c r="D2" s="49"/>
      <c r="E2" s="49"/>
      <c r="F2" s="49"/>
      <c r="G2" s="49"/>
      <c r="H2" s="49"/>
      <c r="I2" s="50"/>
      <c r="J2" s="91"/>
    </row>
    <row r="3">
      <c r="B3" s="92" t="s">
        <v>133</v>
      </c>
      <c r="C3" s="93" t="s">
        <v>4</v>
      </c>
      <c r="D3" s="94" t="s">
        <v>146</v>
      </c>
      <c r="E3" s="95" t="s">
        <v>147</v>
      </c>
      <c r="F3" s="94" t="s">
        <v>148</v>
      </c>
      <c r="G3" s="94" t="s">
        <v>149</v>
      </c>
      <c r="H3" s="96" t="s">
        <v>150</v>
      </c>
      <c r="I3" s="97" t="s">
        <v>151</v>
      </c>
      <c r="J3" s="98" t="s">
        <v>152</v>
      </c>
    </row>
    <row r="4">
      <c r="B4" s="99" t="s">
        <v>140</v>
      </c>
      <c r="C4" s="100">
        <v>16.0</v>
      </c>
      <c r="D4" s="101">
        <f>SUMIFS(OP!G:G,OP!A:A,B4,OP!E:E,C4)</f>
        <v>62550</v>
      </c>
      <c r="E4" s="102">
        <v>17.3</v>
      </c>
      <c r="F4" s="101">
        <f t="shared" ref="F4:F25" si="1">(D4*E4)/1000</f>
        <v>1082.115</v>
      </c>
      <c r="G4" s="101">
        <f>SUMIFS(OP!F:F,OP!A:A,B4,OP!E:E,C4)</f>
        <v>7.3</v>
      </c>
      <c r="H4" s="103">
        <f t="shared" ref="H4:H26" si="2">G4/(F4+G4)</f>
        <v>0.006700844031</v>
      </c>
      <c r="I4" s="104"/>
      <c r="J4" s="101">
        <f t="shared" ref="J4:J25" si="3">(G4)/(E4/1000)</f>
        <v>421.9653179</v>
      </c>
    </row>
    <row r="5">
      <c r="B5" s="99" t="s">
        <v>140</v>
      </c>
      <c r="C5" s="100">
        <v>14.0</v>
      </c>
      <c r="D5" s="101">
        <f>SUMIFS(OP!G:G,OP!A:A,B5,OP!E:E,C5)</f>
        <v>480075</v>
      </c>
      <c r="E5" s="102">
        <v>11.972</v>
      </c>
      <c r="F5" s="101">
        <f t="shared" si="1"/>
        <v>5747.4579</v>
      </c>
      <c r="G5" s="101">
        <f>SUMIFS(OP!F:F,OP!A:A,B5,OP!E:E,C5)</f>
        <v>28.15</v>
      </c>
      <c r="H5" s="103">
        <f t="shared" si="2"/>
        <v>0.004873945823</v>
      </c>
      <c r="I5" s="104"/>
      <c r="J5" s="101">
        <f t="shared" si="3"/>
        <v>2351.319746</v>
      </c>
    </row>
    <row r="6">
      <c r="B6" s="99" t="s">
        <v>140</v>
      </c>
      <c r="C6" s="100">
        <v>12.0</v>
      </c>
      <c r="D6" s="101">
        <f>SUMIFS(OP!G:G,OP!A:A,B6,OP!E:E,C6)</f>
        <v>774525</v>
      </c>
      <c r="E6" s="102">
        <v>23.819</v>
      </c>
      <c r="F6" s="101">
        <f t="shared" si="1"/>
        <v>18448.41098</v>
      </c>
      <c r="G6" s="101">
        <f>SUMIFS(OP!F:F,OP!A:A,B6,OP!E:E,C6)</f>
        <v>98.32</v>
      </c>
      <c r="H6" s="103">
        <f t="shared" si="2"/>
        <v>0.005301203761</v>
      </c>
      <c r="I6" s="104"/>
      <c r="J6" s="101">
        <f t="shared" si="3"/>
        <v>4127.797137</v>
      </c>
    </row>
    <row r="7">
      <c r="B7" s="99" t="s">
        <v>140</v>
      </c>
      <c r="C7" s="100">
        <v>10.0</v>
      </c>
      <c r="D7" s="101">
        <f>SUMIFS(OP!G:G,OP!A:A,B7,OP!E:E,C7)</f>
        <v>136550</v>
      </c>
      <c r="E7" s="102">
        <v>35.51</v>
      </c>
      <c r="F7" s="101">
        <f t="shared" si="1"/>
        <v>4848.8905</v>
      </c>
      <c r="G7" s="101">
        <f>SUMIFS(OP!F:F,OP!A:A,B7,OP!E:E,C7)</f>
        <v>22.08</v>
      </c>
      <c r="H7" s="103">
        <f t="shared" si="2"/>
        <v>0.004532977566</v>
      </c>
      <c r="I7" s="104"/>
      <c r="J7" s="101">
        <f t="shared" si="3"/>
        <v>621.796677</v>
      </c>
    </row>
    <row r="8">
      <c r="B8" s="99" t="s">
        <v>140</v>
      </c>
      <c r="C8" s="100">
        <v>8.0</v>
      </c>
      <c r="D8" s="101">
        <f>SUMIFS(OP!G:G,OP!A:A,B8,OP!E:E,C8)</f>
        <v>38600</v>
      </c>
      <c r="E8" s="102">
        <v>58.328</v>
      </c>
      <c r="F8" s="101">
        <f t="shared" si="1"/>
        <v>2251.4608</v>
      </c>
      <c r="G8" s="101">
        <f>SUMIFS(OP!F:F,OP!A:A,B8,OP!E:E,C8)</f>
        <v>99.13</v>
      </c>
      <c r="H8" s="103">
        <f t="shared" si="2"/>
        <v>0.04217237641</v>
      </c>
      <c r="I8" s="105" t="s">
        <v>153</v>
      </c>
      <c r="J8" s="101">
        <f t="shared" si="3"/>
        <v>1699.526814</v>
      </c>
    </row>
    <row r="9">
      <c r="B9" s="99" t="s">
        <v>140</v>
      </c>
      <c r="C9" s="100">
        <v>6.0</v>
      </c>
      <c r="D9" s="101">
        <f>SUMIFS(OP!G:G,OP!A:A,B9,OP!E:E,C9)</f>
        <v>6225</v>
      </c>
      <c r="E9" s="102">
        <v>86.886</v>
      </c>
      <c r="F9" s="101">
        <f t="shared" si="1"/>
        <v>540.86535</v>
      </c>
      <c r="G9" s="101">
        <f>SUMIFS(OP!F:F,OP!A:A,B9,OP!E:E,C9)</f>
        <v>8.55</v>
      </c>
      <c r="H9" s="103">
        <f t="shared" si="2"/>
        <v>0.01556199695</v>
      </c>
      <c r="I9" s="104"/>
      <c r="J9" s="101">
        <f t="shared" si="3"/>
        <v>98.4048063</v>
      </c>
    </row>
    <row r="10">
      <c r="B10" s="106" t="s">
        <v>138</v>
      </c>
      <c r="C10" s="106">
        <v>12.0</v>
      </c>
      <c r="D10" s="101">
        <f>SUMIFS(OP!G:G,OP!A:A,B10,OP!E:E,C10)</f>
        <v>104150</v>
      </c>
      <c r="E10" s="102">
        <v>22.07</v>
      </c>
      <c r="F10" s="101">
        <f t="shared" si="1"/>
        <v>2298.5905</v>
      </c>
      <c r="G10" s="101">
        <f>SUMIFS(OP!F:F,OP!A:A,B10,OP!E:E,C10)</f>
        <v>14.22</v>
      </c>
      <c r="H10" s="103">
        <f t="shared" si="2"/>
        <v>0.006148363647</v>
      </c>
      <c r="I10" s="104"/>
      <c r="J10" s="101">
        <f t="shared" si="3"/>
        <v>644.3135478</v>
      </c>
    </row>
    <row r="11">
      <c r="B11" s="106" t="s">
        <v>138</v>
      </c>
      <c r="C11" s="106">
        <v>14.0</v>
      </c>
      <c r="D11" s="101">
        <f>SUMIFS(OP!G:G,OP!A:A,B11,OP!E:E,C11)</f>
        <v>178500</v>
      </c>
      <c r="E11" s="102">
        <v>17.37</v>
      </c>
      <c r="F11" s="101">
        <f t="shared" si="1"/>
        <v>3100.545</v>
      </c>
      <c r="G11" s="101">
        <f>SUMIFS(OP!F:F,OP!A:A,B11,OP!E:E,C11)</f>
        <v>6.72</v>
      </c>
      <c r="H11" s="103">
        <f t="shared" si="2"/>
        <v>0.002162673605</v>
      </c>
      <c r="I11" s="104"/>
      <c r="J11" s="101">
        <f t="shared" si="3"/>
        <v>386.8739206</v>
      </c>
    </row>
    <row r="12">
      <c r="B12" s="107" t="s">
        <v>141</v>
      </c>
      <c r="C12" s="107" t="s">
        <v>63</v>
      </c>
      <c r="D12" s="101">
        <f>SUMIFS(OP!G:G,OP!A:A,B12,OP!E:E,C12)</f>
        <v>39375</v>
      </c>
      <c r="E12" s="102">
        <v>149.34</v>
      </c>
      <c r="F12" s="101">
        <f t="shared" si="1"/>
        <v>5880.2625</v>
      </c>
      <c r="G12" s="101">
        <f>SUMIFS(OP!F:F,OP!A:A,B12,OP!E:E,C12)</f>
        <v>66.29</v>
      </c>
      <c r="H12" s="103">
        <f t="shared" si="2"/>
        <v>0.01114763554</v>
      </c>
      <c r="I12" s="104"/>
      <c r="J12" s="101">
        <f t="shared" si="3"/>
        <v>443.8864336</v>
      </c>
    </row>
    <row r="13">
      <c r="B13" s="107" t="s">
        <v>141</v>
      </c>
      <c r="C13" s="107" t="s">
        <v>46</v>
      </c>
      <c r="D13" s="101">
        <f>SUMIFS(OP!G:G,OP!A:A,B13,OP!E:E,C13)</f>
        <v>39225</v>
      </c>
      <c r="E13" s="102">
        <v>114.02</v>
      </c>
      <c r="F13" s="101">
        <f t="shared" si="1"/>
        <v>4472.4345</v>
      </c>
      <c r="G13" s="101">
        <f>SUMIFS(OP!F:F,OP!A:A,B13,OP!E:E,C13)</f>
        <v>22.06</v>
      </c>
      <c r="H13" s="103">
        <f t="shared" si="2"/>
        <v>0.004908227165</v>
      </c>
      <c r="I13" s="104"/>
      <c r="J13" s="101">
        <f t="shared" si="3"/>
        <v>193.474829</v>
      </c>
    </row>
    <row r="14">
      <c r="B14" s="107" t="s">
        <v>141</v>
      </c>
      <c r="C14" s="107" t="s">
        <v>119</v>
      </c>
      <c r="D14" s="101">
        <f>SUMIFS(OP!G:G,OP!A:A,B14,OP!E:E,C14)</f>
        <v>4975</v>
      </c>
      <c r="E14" s="102">
        <v>405.875</v>
      </c>
      <c r="F14" s="101">
        <f t="shared" si="1"/>
        <v>2019.228125</v>
      </c>
      <c r="G14" s="101">
        <f>SUMIFS(OP!F:F,OP!A:A,B14,OP!E:E,C14)</f>
        <v>16.99</v>
      </c>
      <c r="H14" s="103">
        <f t="shared" si="2"/>
        <v>0.008343899797</v>
      </c>
      <c r="I14" s="104"/>
      <c r="J14" s="101">
        <f t="shared" si="3"/>
        <v>41.86017863</v>
      </c>
    </row>
    <row r="15">
      <c r="B15" s="107" t="s">
        <v>141</v>
      </c>
      <c r="C15" s="107" t="s">
        <v>51</v>
      </c>
      <c r="D15" s="101">
        <f>SUMIFS(OP!G:G,OP!A:A,B15,OP!E:E,C15)</f>
        <v>25375</v>
      </c>
      <c r="E15" s="102">
        <v>63.552</v>
      </c>
      <c r="F15" s="101">
        <f t="shared" si="1"/>
        <v>1612.632</v>
      </c>
      <c r="G15" s="101">
        <f>SUMIFS(OP!F:F,OP!A:A,B15,OP!E:E,C15)</f>
        <v>38.8</v>
      </c>
      <c r="H15" s="103">
        <f t="shared" si="2"/>
        <v>0.02349476091</v>
      </c>
      <c r="I15" s="105" t="s">
        <v>154</v>
      </c>
      <c r="J15" s="101">
        <f t="shared" si="3"/>
        <v>610.5236657</v>
      </c>
    </row>
    <row r="16">
      <c r="B16" s="107" t="s">
        <v>141</v>
      </c>
      <c r="C16" s="107" t="s">
        <v>54</v>
      </c>
      <c r="D16" s="101">
        <f>SUMIFS(OP!G:G,OP!A:A,B16,OP!E:E,C16)</f>
        <v>15025</v>
      </c>
      <c r="E16" s="102">
        <v>106.045</v>
      </c>
      <c r="F16" s="101">
        <f t="shared" si="1"/>
        <v>1593.326125</v>
      </c>
      <c r="G16" s="101">
        <f>SUMIFS(OP!F:F,OP!A:A,B16,OP!E:E,C16)</f>
        <v>2.41</v>
      </c>
      <c r="H16" s="103">
        <f t="shared" si="2"/>
        <v>0.001510274764</v>
      </c>
      <c r="I16" s="104"/>
      <c r="J16" s="101">
        <f t="shared" si="3"/>
        <v>22.72620114</v>
      </c>
    </row>
    <row r="17">
      <c r="B17" s="107" t="s">
        <v>141</v>
      </c>
      <c r="C17" s="107" t="s">
        <v>42</v>
      </c>
      <c r="D17" s="101">
        <f>SUMIFS(OP!G:G,OP!A:A,B17,OP!E:E,C17)</f>
        <v>22225</v>
      </c>
      <c r="E17" s="102">
        <v>62.16</v>
      </c>
      <c r="F17" s="101">
        <f t="shared" si="1"/>
        <v>1381.506</v>
      </c>
      <c r="G17" s="101">
        <f>SUMIFS(OP!F:F,OP!A:A,B17,OP!E:E,C17)</f>
        <v>31.68</v>
      </c>
      <c r="H17" s="103">
        <f t="shared" si="2"/>
        <v>0.02241743125</v>
      </c>
      <c r="I17" s="105" t="s">
        <v>154</v>
      </c>
      <c r="J17" s="101">
        <f t="shared" si="3"/>
        <v>509.6525097</v>
      </c>
    </row>
    <row r="18">
      <c r="B18" s="107" t="s">
        <v>141</v>
      </c>
      <c r="C18" s="107" t="s">
        <v>71</v>
      </c>
      <c r="D18" s="101">
        <f>SUMIFS(OP!G:G,OP!A:A,B18,OP!E:E,C18)</f>
        <v>12950</v>
      </c>
      <c r="E18" s="102">
        <v>238.65</v>
      </c>
      <c r="F18" s="101">
        <f t="shared" si="1"/>
        <v>3090.5175</v>
      </c>
      <c r="G18" s="101">
        <f>SUMIFS(OP!F:F,OP!A:A,B18,OP!E:E,C18)</f>
        <v>29.43</v>
      </c>
      <c r="H18" s="103">
        <f t="shared" si="2"/>
        <v>0.009432851034</v>
      </c>
      <c r="I18" s="104"/>
      <c r="J18" s="101">
        <f t="shared" si="3"/>
        <v>123.3186675</v>
      </c>
    </row>
    <row r="19">
      <c r="B19" s="107" t="s">
        <v>141</v>
      </c>
      <c r="C19" s="107" t="s">
        <v>43</v>
      </c>
      <c r="D19" s="101">
        <f>SUMIFS(OP!G:G,OP!A:A,B19,OP!E:E,C19)</f>
        <v>10175</v>
      </c>
      <c r="E19" s="102">
        <v>189.045</v>
      </c>
      <c r="F19" s="101">
        <f t="shared" si="1"/>
        <v>1923.532875</v>
      </c>
      <c r="G19" s="101">
        <f>SUMIFS(OP!F:F,OP!A:A,B19,OP!E:E,C19)</f>
        <v>3.32</v>
      </c>
      <c r="H19" s="103">
        <f t="shared" si="2"/>
        <v>0.001723016865</v>
      </c>
      <c r="I19" s="104"/>
      <c r="J19" s="101">
        <f t="shared" si="3"/>
        <v>17.56195615</v>
      </c>
    </row>
    <row r="20">
      <c r="B20" s="108" t="s">
        <v>143</v>
      </c>
      <c r="C20" s="108" t="s">
        <v>42</v>
      </c>
      <c r="D20" s="101">
        <f>SUMIFS(OP!G:G,OP!A:A,B20,OP!E:E,C20)</f>
        <v>179260</v>
      </c>
      <c r="E20" s="102">
        <v>36.83</v>
      </c>
      <c r="F20" s="101">
        <f t="shared" si="1"/>
        <v>6602.1458</v>
      </c>
      <c r="G20" s="101">
        <f>SUMIFS(OP!F:F,OP!A:A,B20,OP!E:E,C20)</f>
        <v>29.83</v>
      </c>
      <c r="H20" s="103">
        <f t="shared" si="2"/>
        <v>0.004497905436</v>
      </c>
      <c r="I20" s="104"/>
      <c r="J20" s="101">
        <f t="shared" si="3"/>
        <v>809.9375509</v>
      </c>
    </row>
    <row r="21">
      <c r="B21" s="108" t="s">
        <v>143</v>
      </c>
      <c r="C21" s="108" t="s">
        <v>51</v>
      </c>
      <c r="D21" s="101">
        <f>SUMIFS(OP!G:G,OP!A:A,B21,OP!E:E,C21)</f>
        <v>241060</v>
      </c>
      <c r="E21" s="102">
        <v>45.987</v>
      </c>
      <c r="F21" s="101">
        <f t="shared" si="1"/>
        <v>11085.62622</v>
      </c>
      <c r="G21" s="101">
        <f>SUMIFS(OP!F:F,OP!A:A,B21,OP!E:E,C21)</f>
        <v>45.94</v>
      </c>
      <c r="H21" s="103">
        <f t="shared" si="2"/>
        <v>0.004127002355</v>
      </c>
      <c r="I21" s="104"/>
      <c r="J21" s="101">
        <f t="shared" si="3"/>
        <v>998.977972</v>
      </c>
    </row>
    <row r="22">
      <c r="B22" s="108" t="s">
        <v>143</v>
      </c>
      <c r="C22" s="108" t="s">
        <v>46</v>
      </c>
      <c r="D22" s="101">
        <f>SUMIFS(OP!G:G,OP!A:A,B22,OP!E:E,C22)</f>
        <v>162800</v>
      </c>
      <c r="E22" s="102">
        <v>62.034</v>
      </c>
      <c r="F22" s="101">
        <f t="shared" si="1"/>
        <v>10099.1352</v>
      </c>
      <c r="G22" s="101">
        <f>SUMIFS(OP!F:F,OP!A:A,B22,OP!E:E,C22)</f>
        <v>59.84</v>
      </c>
      <c r="H22" s="103">
        <f t="shared" si="2"/>
        <v>0.005890357917</v>
      </c>
      <c r="I22" s="104"/>
      <c r="J22" s="101">
        <f t="shared" si="3"/>
        <v>964.6322984</v>
      </c>
    </row>
    <row r="23">
      <c r="B23" s="108" t="s">
        <v>143</v>
      </c>
      <c r="C23" s="108" t="s">
        <v>43</v>
      </c>
      <c r="D23" s="101">
        <f>SUMIFS(OP!G:G,OP!A:A,B23,OP!E:E,C23)</f>
        <v>47350</v>
      </c>
      <c r="E23" s="102">
        <v>76.18</v>
      </c>
      <c r="F23" s="101">
        <f t="shared" si="1"/>
        <v>3607.123</v>
      </c>
      <c r="G23" s="101">
        <f>SUMIFS(OP!F:F,OP!A:A,B23,OP!E:E,C23)</f>
        <v>28.72</v>
      </c>
      <c r="H23" s="103">
        <f t="shared" si="2"/>
        <v>0.007899130958</v>
      </c>
      <c r="I23" s="104"/>
      <c r="J23" s="101">
        <f t="shared" si="3"/>
        <v>377.0018378</v>
      </c>
    </row>
    <row r="24">
      <c r="B24" s="108" t="s">
        <v>143</v>
      </c>
      <c r="C24" s="108" t="s">
        <v>35</v>
      </c>
      <c r="D24" s="101">
        <f>SUMIFS(OP!G:G,OP!A:A,B24,OP!E:E,C24)</f>
        <v>125725</v>
      </c>
      <c r="E24" s="102">
        <v>26.185</v>
      </c>
      <c r="F24" s="101">
        <f t="shared" si="1"/>
        <v>3292.109125</v>
      </c>
      <c r="G24" s="101">
        <f>SUMIFS(OP!F:F,OP!A:A,B24,OP!E:E,C24)</f>
        <v>11.52</v>
      </c>
      <c r="H24" s="103">
        <f t="shared" si="2"/>
        <v>0.003487074234</v>
      </c>
      <c r="I24" s="104"/>
      <c r="J24" s="101">
        <f t="shared" si="3"/>
        <v>439.9465343</v>
      </c>
    </row>
    <row r="25">
      <c r="B25" s="108" t="s">
        <v>143</v>
      </c>
      <c r="C25" s="108" t="s">
        <v>92</v>
      </c>
      <c r="D25" s="101">
        <f>SUMIFS(OP!G:G,OP!A:A,B25,OP!E:E,C25)</f>
        <v>80075</v>
      </c>
      <c r="E25" s="102">
        <v>14.402</v>
      </c>
      <c r="F25" s="101">
        <f t="shared" si="1"/>
        <v>1153.24015</v>
      </c>
      <c r="G25" s="101">
        <f>SUMIFS(OP!F:F,OP!A:A,B25,OP!E:E,C25)</f>
        <v>14.8</v>
      </c>
      <c r="H25" s="103">
        <f t="shared" si="2"/>
        <v>0.01267079732</v>
      </c>
      <c r="I25" s="104"/>
      <c r="J25" s="101">
        <f t="shared" si="3"/>
        <v>1027.635051</v>
      </c>
    </row>
    <row r="26">
      <c r="B26" s="109" t="s">
        <v>155</v>
      </c>
      <c r="C26" s="58"/>
      <c r="D26" s="110">
        <f>SUM(D4:D25)</f>
        <v>2786770</v>
      </c>
      <c r="E26" s="110">
        <f>AVERAGE(E4:E25)</f>
        <v>84.70727273</v>
      </c>
      <c r="F26" s="110">
        <f t="shared" ref="F26:G26" si="4">SUM(F4:F17)</f>
        <v>55277.72528</v>
      </c>
      <c r="G26" s="110">
        <f t="shared" si="4"/>
        <v>462.7</v>
      </c>
      <c r="H26" s="111">
        <f t="shared" si="2"/>
        <v>0.008300977212</v>
      </c>
      <c r="I26" s="104"/>
      <c r="J26" s="101">
        <f>SUM(J4:J25)</f>
        <v>16933.13365</v>
      </c>
    </row>
    <row r="27">
      <c r="B27" s="87"/>
      <c r="C27" s="87"/>
      <c r="D27" s="88"/>
      <c r="E27" s="88"/>
      <c r="F27" s="88"/>
      <c r="G27" s="88"/>
      <c r="H27" s="89"/>
      <c r="J27" s="88"/>
    </row>
    <row r="28">
      <c r="B28" s="87"/>
      <c r="C28" s="87"/>
      <c r="D28" s="88"/>
      <c r="E28" s="88"/>
      <c r="F28" s="88"/>
      <c r="G28" s="88"/>
      <c r="H28" s="89"/>
      <c r="J28" s="88"/>
    </row>
    <row r="29">
      <c r="B29" s="87"/>
      <c r="C29" s="87"/>
      <c r="D29" s="88"/>
      <c r="E29" s="88"/>
      <c r="F29" s="88"/>
      <c r="G29" s="88"/>
      <c r="H29" s="89"/>
      <c r="J29" s="88"/>
    </row>
    <row r="30">
      <c r="B30" s="87"/>
      <c r="C30" s="87"/>
      <c r="D30" s="88"/>
      <c r="E30" s="88"/>
      <c r="F30" s="88"/>
      <c r="G30" s="88"/>
      <c r="H30" s="89"/>
      <c r="J30" s="88"/>
    </row>
    <row r="31">
      <c r="B31" s="87"/>
      <c r="C31" s="87"/>
      <c r="D31" s="88"/>
      <c r="E31" s="88"/>
      <c r="F31" s="88"/>
      <c r="G31" s="88"/>
      <c r="H31" s="89"/>
      <c r="J31" s="88"/>
    </row>
    <row r="32">
      <c r="B32" s="87"/>
      <c r="C32" s="87"/>
      <c r="D32" s="88"/>
      <c r="E32" s="88"/>
      <c r="F32" s="88"/>
      <c r="G32" s="88"/>
      <c r="H32" s="89"/>
      <c r="J32" s="88"/>
    </row>
    <row r="33">
      <c r="B33" s="87"/>
      <c r="C33" s="87"/>
      <c r="D33" s="88"/>
      <c r="E33" s="88"/>
      <c r="F33" s="88"/>
      <c r="G33" s="88"/>
      <c r="H33" s="89"/>
      <c r="J33" s="88"/>
    </row>
    <row r="34">
      <c r="B34" s="87"/>
      <c r="C34" s="87"/>
      <c r="D34" s="88"/>
      <c r="E34" s="88"/>
      <c r="F34" s="88"/>
      <c r="G34" s="88"/>
      <c r="H34" s="89"/>
      <c r="J34" s="88"/>
    </row>
    <row r="35">
      <c r="B35" s="87"/>
      <c r="C35" s="87"/>
      <c r="D35" s="88"/>
      <c r="E35" s="88"/>
      <c r="F35" s="88"/>
      <c r="G35" s="88"/>
      <c r="H35" s="89"/>
      <c r="J35" s="88"/>
    </row>
    <row r="36">
      <c r="B36" s="87"/>
      <c r="C36" s="87"/>
      <c r="D36" s="88"/>
      <c r="E36" s="88"/>
      <c r="F36" s="88"/>
      <c r="G36" s="88"/>
      <c r="H36" s="89"/>
      <c r="J36" s="88"/>
    </row>
    <row r="37">
      <c r="B37" s="87"/>
      <c r="C37" s="87"/>
      <c r="D37" s="88"/>
      <c r="E37" s="88"/>
      <c r="F37" s="88"/>
      <c r="G37" s="88"/>
      <c r="H37" s="89"/>
      <c r="J37" s="88"/>
    </row>
    <row r="38">
      <c r="B38" s="87"/>
      <c r="C38" s="87"/>
      <c r="D38" s="88"/>
      <c r="E38" s="88"/>
      <c r="F38" s="88"/>
      <c r="G38" s="88"/>
      <c r="H38" s="89"/>
      <c r="J38" s="88"/>
    </row>
    <row r="39">
      <c r="B39" s="87"/>
      <c r="C39" s="87"/>
      <c r="D39" s="88"/>
      <c r="E39" s="88"/>
      <c r="F39" s="88"/>
      <c r="G39" s="88"/>
      <c r="H39" s="89"/>
      <c r="J39" s="88"/>
    </row>
    <row r="40">
      <c r="B40" s="87"/>
      <c r="C40" s="87"/>
      <c r="D40" s="88"/>
      <c r="E40" s="88"/>
      <c r="F40" s="88"/>
      <c r="G40" s="88"/>
      <c r="H40" s="89"/>
      <c r="J40" s="88"/>
    </row>
    <row r="41">
      <c r="B41" s="87"/>
      <c r="C41" s="87"/>
      <c r="D41" s="88"/>
      <c r="E41" s="88"/>
      <c r="F41" s="88"/>
      <c r="G41" s="88"/>
      <c r="H41" s="89"/>
      <c r="J41" s="88"/>
    </row>
    <row r="42">
      <c r="B42" s="87"/>
      <c r="C42" s="87"/>
      <c r="D42" s="88"/>
      <c r="E42" s="88"/>
      <c r="F42" s="88"/>
      <c r="G42" s="88"/>
      <c r="H42" s="89"/>
      <c r="J42" s="88"/>
    </row>
    <row r="43">
      <c r="B43" s="87"/>
      <c r="C43" s="87"/>
      <c r="D43" s="88"/>
      <c r="E43" s="88"/>
      <c r="F43" s="88"/>
      <c r="G43" s="88"/>
      <c r="H43" s="89"/>
      <c r="J43" s="88"/>
    </row>
    <row r="44">
      <c r="B44" s="87"/>
      <c r="C44" s="87"/>
      <c r="D44" s="88"/>
      <c r="E44" s="88"/>
      <c r="F44" s="88"/>
      <c r="G44" s="88"/>
      <c r="H44" s="89"/>
      <c r="J44" s="88"/>
    </row>
    <row r="45">
      <c r="B45" s="87"/>
      <c r="C45" s="87"/>
      <c r="D45" s="88"/>
      <c r="E45" s="88"/>
      <c r="F45" s="88"/>
      <c r="G45" s="88"/>
      <c r="H45" s="89"/>
      <c r="J45" s="88"/>
    </row>
    <row r="46">
      <c r="B46" s="87"/>
      <c r="C46" s="87"/>
      <c r="D46" s="88"/>
      <c r="E46" s="88"/>
      <c r="F46" s="88"/>
      <c r="G46" s="88"/>
      <c r="H46" s="89"/>
      <c r="J46" s="88"/>
    </row>
    <row r="47">
      <c r="B47" s="87"/>
      <c r="C47" s="87"/>
      <c r="D47" s="88"/>
      <c r="E47" s="88"/>
      <c r="F47" s="88"/>
      <c r="G47" s="88"/>
      <c r="H47" s="89"/>
      <c r="J47" s="88"/>
    </row>
    <row r="48">
      <c r="B48" s="87"/>
      <c r="C48" s="87"/>
      <c r="D48" s="88"/>
      <c r="E48" s="88"/>
      <c r="F48" s="88"/>
      <c r="G48" s="88"/>
      <c r="H48" s="89"/>
      <c r="J48" s="88"/>
    </row>
    <row r="49">
      <c r="B49" s="87"/>
      <c r="C49" s="87"/>
      <c r="D49" s="88"/>
      <c r="E49" s="88"/>
      <c r="F49" s="88"/>
      <c r="G49" s="88"/>
      <c r="H49" s="89"/>
      <c r="J49" s="88"/>
    </row>
    <row r="50">
      <c r="B50" s="87"/>
      <c r="C50" s="87"/>
      <c r="D50" s="88"/>
      <c r="E50" s="88"/>
      <c r="F50" s="88"/>
      <c r="G50" s="88"/>
      <c r="H50" s="89"/>
      <c r="J50" s="88"/>
    </row>
    <row r="51">
      <c r="B51" s="87"/>
      <c r="C51" s="87"/>
      <c r="D51" s="88"/>
      <c r="E51" s="88"/>
      <c r="F51" s="88"/>
      <c r="G51" s="88"/>
      <c r="H51" s="89"/>
      <c r="J51" s="88"/>
    </row>
    <row r="52">
      <c r="B52" s="87"/>
      <c r="C52" s="87"/>
      <c r="D52" s="88"/>
      <c r="E52" s="88"/>
      <c r="F52" s="88"/>
      <c r="G52" s="88"/>
      <c r="H52" s="89"/>
      <c r="J52" s="88"/>
    </row>
    <row r="53">
      <c r="B53" s="87"/>
      <c r="C53" s="87"/>
      <c r="D53" s="88"/>
      <c r="E53" s="88"/>
      <c r="F53" s="88"/>
      <c r="G53" s="88"/>
      <c r="H53" s="89"/>
      <c r="J53" s="88"/>
    </row>
    <row r="54">
      <c r="B54" s="87"/>
      <c r="C54" s="87"/>
      <c r="D54" s="88"/>
      <c r="E54" s="88"/>
      <c r="F54" s="88"/>
      <c r="G54" s="88"/>
      <c r="H54" s="89"/>
      <c r="J54" s="88"/>
    </row>
    <row r="55">
      <c r="B55" s="87"/>
      <c r="C55" s="87"/>
      <c r="D55" s="88"/>
      <c r="E55" s="88"/>
      <c r="F55" s="88"/>
      <c r="G55" s="88"/>
      <c r="H55" s="89"/>
      <c r="J55" s="88"/>
    </row>
    <row r="56">
      <c r="B56" s="87"/>
      <c r="C56" s="87"/>
      <c r="D56" s="88"/>
      <c r="E56" s="88"/>
      <c r="F56" s="88"/>
      <c r="G56" s="88"/>
      <c r="H56" s="89"/>
      <c r="J56" s="88"/>
    </row>
    <row r="57">
      <c r="B57" s="87"/>
      <c r="C57" s="87"/>
      <c r="D57" s="88"/>
      <c r="E57" s="88"/>
      <c r="F57" s="88"/>
      <c r="G57" s="88"/>
      <c r="H57" s="89"/>
      <c r="J57" s="88"/>
    </row>
    <row r="58">
      <c r="B58" s="87"/>
      <c r="C58" s="87"/>
      <c r="D58" s="88"/>
      <c r="E58" s="88"/>
      <c r="F58" s="88"/>
      <c r="G58" s="88"/>
      <c r="H58" s="89"/>
      <c r="J58" s="88"/>
    </row>
    <row r="59">
      <c r="B59" s="87"/>
      <c r="C59" s="87"/>
      <c r="D59" s="88"/>
      <c r="E59" s="88"/>
      <c r="F59" s="88"/>
      <c r="G59" s="88"/>
      <c r="H59" s="89"/>
      <c r="J59" s="88"/>
    </row>
    <row r="60">
      <c r="B60" s="87"/>
      <c r="C60" s="87"/>
      <c r="D60" s="88"/>
      <c r="E60" s="88"/>
      <c r="F60" s="88"/>
      <c r="G60" s="88"/>
      <c r="H60" s="89"/>
      <c r="J60" s="88"/>
    </row>
    <row r="61">
      <c r="B61" s="87"/>
      <c r="C61" s="87"/>
      <c r="D61" s="88"/>
      <c r="E61" s="88"/>
      <c r="F61" s="88"/>
      <c r="G61" s="88"/>
      <c r="H61" s="89"/>
      <c r="J61" s="88"/>
    </row>
    <row r="62">
      <c r="B62" s="87"/>
      <c r="C62" s="87"/>
      <c r="D62" s="88"/>
      <c r="E62" s="88"/>
      <c r="F62" s="88"/>
      <c r="G62" s="88"/>
      <c r="H62" s="89"/>
      <c r="J62" s="88"/>
    </row>
    <row r="63">
      <c r="B63" s="87"/>
      <c r="C63" s="87"/>
      <c r="D63" s="88"/>
      <c r="E63" s="88"/>
      <c r="F63" s="88"/>
      <c r="G63" s="88"/>
      <c r="H63" s="89"/>
      <c r="J63" s="88"/>
    </row>
    <row r="64">
      <c r="B64" s="87"/>
      <c r="C64" s="87"/>
      <c r="D64" s="88"/>
      <c r="E64" s="88"/>
      <c r="F64" s="88"/>
      <c r="G64" s="88"/>
      <c r="H64" s="89"/>
      <c r="J64" s="88"/>
    </row>
    <row r="65">
      <c r="B65" s="87"/>
      <c r="C65" s="87"/>
      <c r="D65" s="88"/>
      <c r="E65" s="88"/>
      <c r="F65" s="88"/>
      <c r="G65" s="88"/>
      <c r="H65" s="89"/>
      <c r="J65" s="88"/>
    </row>
    <row r="66">
      <c r="B66" s="87"/>
      <c r="C66" s="87"/>
      <c r="D66" s="88"/>
      <c r="E66" s="88"/>
      <c r="F66" s="88"/>
      <c r="G66" s="88"/>
      <c r="H66" s="89"/>
      <c r="J66" s="88"/>
    </row>
    <row r="67">
      <c r="B67" s="87"/>
      <c r="C67" s="87"/>
      <c r="D67" s="88"/>
      <c r="E67" s="88"/>
      <c r="F67" s="88"/>
      <c r="G67" s="88"/>
      <c r="H67" s="89"/>
      <c r="J67" s="88"/>
    </row>
    <row r="68">
      <c r="B68" s="87"/>
      <c r="C68" s="87"/>
      <c r="D68" s="88"/>
      <c r="E68" s="88"/>
      <c r="F68" s="88"/>
      <c r="G68" s="88"/>
      <c r="H68" s="89"/>
      <c r="J68" s="88"/>
    </row>
    <row r="69">
      <c r="B69" s="87"/>
      <c r="C69" s="87"/>
      <c r="D69" s="88"/>
      <c r="E69" s="88"/>
      <c r="F69" s="88"/>
      <c r="G69" s="88"/>
      <c r="H69" s="89"/>
      <c r="J69" s="88"/>
    </row>
    <row r="70">
      <c r="B70" s="87"/>
      <c r="C70" s="87"/>
      <c r="D70" s="88"/>
      <c r="E70" s="88"/>
      <c r="F70" s="88"/>
      <c r="G70" s="88"/>
      <c r="H70" s="89"/>
      <c r="J70" s="88"/>
    </row>
    <row r="71">
      <c r="B71" s="87"/>
      <c r="C71" s="87"/>
      <c r="D71" s="88"/>
      <c r="E71" s="88"/>
      <c r="F71" s="88"/>
      <c r="G71" s="88"/>
      <c r="H71" s="89"/>
      <c r="J71" s="88"/>
    </row>
    <row r="72">
      <c r="B72" s="87"/>
      <c r="C72" s="87"/>
      <c r="D72" s="88"/>
      <c r="E72" s="88"/>
      <c r="F72" s="88"/>
      <c r="G72" s="88"/>
      <c r="H72" s="89"/>
      <c r="J72" s="88"/>
    </row>
    <row r="73">
      <c r="B73" s="87"/>
      <c r="C73" s="87"/>
      <c r="D73" s="88"/>
      <c r="E73" s="88"/>
      <c r="F73" s="88"/>
      <c r="G73" s="88"/>
      <c r="H73" s="89"/>
      <c r="J73" s="88"/>
    </row>
    <row r="74">
      <c r="B74" s="87"/>
      <c r="C74" s="87"/>
      <c r="D74" s="88"/>
      <c r="E74" s="88"/>
      <c r="F74" s="88"/>
      <c r="G74" s="88"/>
      <c r="H74" s="89"/>
      <c r="J74" s="88"/>
    </row>
    <row r="75">
      <c r="B75" s="87"/>
      <c r="C75" s="87"/>
      <c r="D75" s="88"/>
      <c r="E75" s="88"/>
      <c r="F75" s="88"/>
      <c r="G75" s="88"/>
      <c r="H75" s="89"/>
      <c r="J75" s="88"/>
    </row>
    <row r="76">
      <c r="B76" s="87"/>
      <c r="C76" s="87"/>
      <c r="D76" s="88"/>
      <c r="E76" s="88"/>
      <c r="F76" s="88"/>
      <c r="G76" s="88"/>
      <c r="H76" s="89"/>
      <c r="J76" s="88"/>
    </row>
    <row r="77">
      <c r="B77" s="87"/>
      <c r="C77" s="87"/>
      <c r="D77" s="88"/>
      <c r="E77" s="88"/>
      <c r="F77" s="88"/>
      <c r="G77" s="88"/>
      <c r="H77" s="89"/>
      <c r="J77" s="88"/>
    </row>
    <row r="78">
      <c r="B78" s="87"/>
      <c r="C78" s="87"/>
      <c r="D78" s="88"/>
      <c r="E78" s="88"/>
      <c r="F78" s="88"/>
      <c r="G78" s="88"/>
      <c r="H78" s="89"/>
      <c r="J78" s="88"/>
    </row>
    <row r="79">
      <c r="B79" s="87"/>
      <c r="C79" s="87"/>
      <c r="D79" s="88"/>
      <c r="E79" s="88"/>
      <c r="F79" s="88"/>
      <c r="G79" s="88"/>
      <c r="H79" s="89"/>
      <c r="J79" s="88"/>
    </row>
    <row r="80">
      <c r="B80" s="87"/>
      <c r="C80" s="87"/>
      <c r="D80" s="88"/>
      <c r="E80" s="88"/>
      <c r="F80" s="88"/>
      <c r="G80" s="88"/>
      <c r="H80" s="89"/>
      <c r="J80" s="88"/>
    </row>
    <row r="81">
      <c r="B81" s="87"/>
      <c r="C81" s="87"/>
      <c r="D81" s="88"/>
      <c r="E81" s="88"/>
      <c r="F81" s="88"/>
      <c r="G81" s="88"/>
      <c r="H81" s="89"/>
      <c r="J81" s="88"/>
    </row>
    <row r="82">
      <c r="B82" s="87"/>
      <c r="C82" s="87"/>
      <c r="D82" s="88"/>
      <c r="E82" s="88"/>
      <c r="F82" s="88"/>
      <c r="G82" s="88"/>
      <c r="H82" s="89"/>
      <c r="J82" s="88"/>
    </row>
    <row r="83">
      <c r="B83" s="87"/>
      <c r="C83" s="87"/>
      <c r="D83" s="88"/>
      <c r="E83" s="88"/>
      <c r="F83" s="88"/>
      <c r="G83" s="88"/>
      <c r="H83" s="89"/>
      <c r="J83" s="88"/>
    </row>
    <row r="84">
      <c r="B84" s="87"/>
      <c r="C84" s="87"/>
      <c r="D84" s="88"/>
      <c r="E84" s="88"/>
      <c r="F84" s="88"/>
      <c r="G84" s="88"/>
      <c r="H84" s="89"/>
      <c r="J84" s="88"/>
    </row>
    <row r="85">
      <c r="B85" s="87"/>
      <c r="C85" s="87"/>
      <c r="D85" s="88"/>
      <c r="E85" s="88"/>
      <c r="F85" s="88"/>
      <c r="G85" s="88"/>
      <c r="H85" s="89"/>
      <c r="J85" s="88"/>
    </row>
    <row r="86">
      <c r="B86" s="87"/>
      <c r="C86" s="87"/>
      <c r="D86" s="88"/>
      <c r="E86" s="88"/>
      <c r="F86" s="88"/>
      <c r="G86" s="88"/>
      <c r="H86" s="89"/>
      <c r="J86" s="88"/>
    </row>
    <row r="87">
      <c r="B87" s="87"/>
      <c r="C87" s="87"/>
      <c r="D87" s="88"/>
      <c r="E87" s="88"/>
      <c r="F87" s="88"/>
      <c r="G87" s="88"/>
      <c r="H87" s="89"/>
      <c r="J87" s="88"/>
    </row>
    <row r="88">
      <c r="B88" s="87"/>
      <c r="C88" s="87"/>
      <c r="D88" s="88"/>
      <c r="E88" s="88"/>
      <c r="F88" s="88"/>
      <c r="G88" s="88"/>
      <c r="H88" s="89"/>
      <c r="J88" s="88"/>
    </row>
    <row r="89">
      <c r="B89" s="87"/>
      <c r="C89" s="87"/>
      <c r="D89" s="88"/>
      <c r="E89" s="88"/>
      <c r="F89" s="88"/>
      <c r="G89" s="88"/>
      <c r="H89" s="89"/>
      <c r="J89" s="88"/>
    </row>
    <row r="90">
      <c r="B90" s="87"/>
      <c r="C90" s="87"/>
      <c r="D90" s="88"/>
      <c r="E90" s="88"/>
      <c r="F90" s="88"/>
      <c r="G90" s="88"/>
      <c r="H90" s="89"/>
      <c r="J90" s="88"/>
    </row>
    <row r="91">
      <c r="B91" s="87"/>
      <c r="C91" s="87"/>
      <c r="D91" s="88"/>
      <c r="E91" s="88"/>
      <c r="F91" s="88"/>
      <c r="G91" s="88"/>
      <c r="H91" s="89"/>
      <c r="J91" s="88"/>
    </row>
    <row r="92">
      <c r="B92" s="87"/>
      <c r="C92" s="87"/>
      <c r="D92" s="88"/>
      <c r="E92" s="88"/>
      <c r="F92" s="88"/>
      <c r="G92" s="88"/>
      <c r="H92" s="89"/>
      <c r="J92" s="88"/>
    </row>
    <row r="93">
      <c r="B93" s="87"/>
      <c r="C93" s="87"/>
      <c r="D93" s="88"/>
      <c r="E93" s="88"/>
      <c r="F93" s="88"/>
      <c r="G93" s="88"/>
      <c r="H93" s="89"/>
      <c r="J93" s="88"/>
    </row>
    <row r="94">
      <c r="B94" s="87"/>
      <c r="C94" s="87"/>
      <c r="D94" s="88"/>
      <c r="E94" s="88"/>
      <c r="F94" s="88"/>
      <c r="G94" s="88"/>
      <c r="H94" s="89"/>
      <c r="J94" s="88"/>
    </row>
    <row r="95">
      <c r="B95" s="87"/>
      <c r="C95" s="87"/>
      <c r="D95" s="88"/>
      <c r="E95" s="88"/>
      <c r="F95" s="88"/>
      <c r="G95" s="88"/>
      <c r="H95" s="89"/>
      <c r="J95" s="88"/>
    </row>
    <row r="96">
      <c r="B96" s="87"/>
      <c r="C96" s="87"/>
      <c r="D96" s="88"/>
      <c r="E96" s="88"/>
      <c r="F96" s="88"/>
      <c r="G96" s="88"/>
      <c r="H96" s="89"/>
      <c r="J96" s="88"/>
    </row>
    <row r="97">
      <c r="B97" s="87"/>
      <c r="C97" s="87"/>
      <c r="D97" s="88"/>
      <c r="E97" s="88"/>
      <c r="F97" s="88"/>
      <c r="G97" s="88"/>
      <c r="H97" s="89"/>
      <c r="J97" s="88"/>
    </row>
    <row r="98">
      <c r="B98" s="87"/>
      <c r="C98" s="87"/>
      <c r="D98" s="88"/>
      <c r="E98" s="88"/>
      <c r="F98" s="88"/>
      <c r="G98" s="88"/>
      <c r="H98" s="89"/>
      <c r="J98" s="88"/>
    </row>
    <row r="99">
      <c r="B99" s="87"/>
      <c r="C99" s="87"/>
      <c r="D99" s="88"/>
      <c r="E99" s="88"/>
      <c r="F99" s="88"/>
      <c r="G99" s="88"/>
      <c r="H99" s="89"/>
      <c r="J99" s="88"/>
    </row>
    <row r="100">
      <c r="B100" s="87"/>
      <c r="C100" s="87"/>
      <c r="D100" s="88"/>
      <c r="E100" s="88"/>
      <c r="F100" s="88"/>
      <c r="G100" s="88"/>
      <c r="H100" s="89"/>
      <c r="J100" s="88"/>
    </row>
    <row r="101">
      <c r="B101" s="87"/>
      <c r="C101" s="87"/>
      <c r="D101" s="88"/>
      <c r="E101" s="88"/>
      <c r="F101" s="88"/>
      <c r="G101" s="88"/>
      <c r="H101" s="89"/>
      <c r="J101" s="88"/>
    </row>
    <row r="102">
      <c r="B102" s="87"/>
      <c r="C102" s="87"/>
      <c r="D102" s="88"/>
      <c r="E102" s="88"/>
      <c r="F102" s="88"/>
      <c r="G102" s="88"/>
      <c r="H102" s="89"/>
      <c r="J102" s="88"/>
    </row>
    <row r="103">
      <c r="B103" s="87"/>
      <c r="C103" s="87"/>
      <c r="D103" s="88"/>
      <c r="E103" s="88"/>
      <c r="F103" s="88"/>
      <c r="G103" s="88"/>
      <c r="H103" s="89"/>
      <c r="J103" s="88"/>
    </row>
    <row r="104">
      <c r="B104" s="87"/>
      <c r="C104" s="87"/>
      <c r="D104" s="88"/>
      <c r="E104" s="88"/>
      <c r="F104" s="88"/>
      <c r="G104" s="88"/>
      <c r="H104" s="89"/>
      <c r="J104" s="88"/>
    </row>
    <row r="105">
      <c r="B105" s="87"/>
      <c r="C105" s="87"/>
      <c r="D105" s="88"/>
      <c r="E105" s="88"/>
      <c r="F105" s="88"/>
      <c r="G105" s="88"/>
      <c r="H105" s="89"/>
      <c r="J105" s="88"/>
    </row>
    <row r="106">
      <c r="B106" s="87"/>
      <c r="C106" s="87"/>
      <c r="D106" s="88"/>
      <c r="E106" s="88"/>
      <c r="F106" s="88"/>
      <c r="G106" s="88"/>
      <c r="H106" s="89"/>
      <c r="J106" s="88"/>
    </row>
    <row r="107">
      <c r="B107" s="87"/>
      <c r="C107" s="87"/>
      <c r="D107" s="88"/>
      <c r="E107" s="88"/>
      <c r="F107" s="88"/>
      <c r="G107" s="88"/>
      <c r="H107" s="89"/>
      <c r="J107" s="88"/>
    </row>
    <row r="108">
      <c r="B108" s="87"/>
      <c r="C108" s="87"/>
      <c r="D108" s="88"/>
      <c r="E108" s="88"/>
      <c r="F108" s="88"/>
      <c r="G108" s="88"/>
      <c r="H108" s="89"/>
      <c r="J108" s="88"/>
    </row>
    <row r="109">
      <c r="B109" s="87"/>
      <c r="C109" s="87"/>
      <c r="D109" s="88"/>
      <c r="E109" s="88"/>
      <c r="F109" s="88"/>
      <c r="G109" s="88"/>
      <c r="H109" s="89"/>
      <c r="J109" s="88"/>
    </row>
    <row r="110">
      <c r="B110" s="87"/>
      <c r="C110" s="87"/>
      <c r="D110" s="88"/>
      <c r="E110" s="88"/>
      <c r="F110" s="88"/>
      <c r="G110" s="88"/>
      <c r="H110" s="89"/>
      <c r="J110" s="88"/>
    </row>
    <row r="111">
      <c r="B111" s="87"/>
      <c r="C111" s="87"/>
      <c r="D111" s="88"/>
      <c r="E111" s="88"/>
      <c r="F111" s="88"/>
      <c r="G111" s="88"/>
      <c r="H111" s="89"/>
      <c r="J111" s="88"/>
    </row>
    <row r="112">
      <c r="B112" s="87"/>
      <c r="C112" s="87"/>
      <c r="D112" s="88"/>
      <c r="E112" s="88"/>
      <c r="F112" s="88"/>
      <c r="G112" s="88"/>
      <c r="H112" s="89"/>
      <c r="J112" s="88"/>
    </row>
    <row r="113">
      <c r="B113" s="87"/>
      <c r="C113" s="87"/>
      <c r="D113" s="88"/>
      <c r="E113" s="88"/>
      <c r="F113" s="88"/>
      <c r="G113" s="88"/>
      <c r="H113" s="89"/>
      <c r="J113" s="88"/>
    </row>
    <row r="114">
      <c r="B114" s="87"/>
      <c r="C114" s="87"/>
      <c r="D114" s="88"/>
      <c r="E114" s="88"/>
      <c r="F114" s="88"/>
      <c r="G114" s="88"/>
      <c r="H114" s="89"/>
      <c r="J114" s="88"/>
    </row>
    <row r="115">
      <c r="B115" s="87"/>
      <c r="C115" s="87"/>
      <c r="D115" s="88"/>
      <c r="E115" s="88"/>
      <c r="F115" s="88"/>
      <c r="G115" s="88"/>
      <c r="H115" s="89"/>
      <c r="J115" s="88"/>
    </row>
    <row r="116">
      <c r="B116" s="87"/>
      <c r="C116" s="87"/>
      <c r="D116" s="88"/>
      <c r="E116" s="88"/>
      <c r="F116" s="88"/>
      <c r="G116" s="88"/>
      <c r="H116" s="89"/>
      <c r="J116" s="88"/>
    </row>
    <row r="117">
      <c r="B117" s="87"/>
      <c r="C117" s="87"/>
      <c r="D117" s="88"/>
      <c r="E117" s="88"/>
      <c r="F117" s="88"/>
      <c r="G117" s="88"/>
      <c r="H117" s="89"/>
      <c r="J117" s="88"/>
    </row>
    <row r="118">
      <c r="B118" s="87"/>
      <c r="C118" s="87"/>
      <c r="D118" s="88"/>
      <c r="E118" s="88"/>
      <c r="F118" s="88"/>
      <c r="G118" s="88"/>
      <c r="H118" s="89"/>
      <c r="J118" s="88"/>
    </row>
    <row r="119">
      <c r="B119" s="87"/>
      <c r="C119" s="87"/>
      <c r="D119" s="88"/>
      <c r="E119" s="88"/>
      <c r="F119" s="88"/>
      <c r="G119" s="88"/>
      <c r="H119" s="89"/>
      <c r="J119" s="88"/>
    </row>
    <row r="120">
      <c r="B120" s="87"/>
      <c r="C120" s="87"/>
      <c r="D120" s="88"/>
      <c r="E120" s="88"/>
      <c r="F120" s="88"/>
      <c r="G120" s="88"/>
      <c r="H120" s="89"/>
      <c r="J120" s="88"/>
    </row>
    <row r="121">
      <c r="B121" s="87"/>
      <c r="C121" s="87"/>
      <c r="D121" s="88"/>
      <c r="E121" s="88"/>
      <c r="F121" s="88"/>
      <c r="G121" s="88"/>
      <c r="H121" s="89"/>
      <c r="J121" s="88"/>
    </row>
    <row r="122">
      <c r="B122" s="87"/>
      <c r="C122" s="87"/>
      <c r="D122" s="88"/>
      <c r="E122" s="88"/>
      <c r="F122" s="88"/>
      <c r="G122" s="88"/>
      <c r="H122" s="89"/>
      <c r="J122" s="88"/>
    </row>
    <row r="123">
      <c r="B123" s="87"/>
      <c r="C123" s="87"/>
      <c r="D123" s="88"/>
      <c r="E123" s="88"/>
      <c r="F123" s="88"/>
      <c r="G123" s="88"/>
      <c r="H123" s="89"/>
      <c r="J123" s="88"/>
    </row>
    <row r="124">
      <c r="B124" s="87"/>
      <c r="C124" s="87"/>
      <c r="D124" s="88"/>
      <c r="E124" s="88"/>
      <c r="F124" s="88"/>
      <c r="G124" s="88"/>
      <c r="H124" s="89"/>
      <c r="J124" s="88"/>
    </row>
    <row r="125">
      <c r="B125" s="87"/>
      <c r="C125" s="87"/>
      <c r="D125" s="88"/>
      <c r="E125" s="88"/>
      <c r="F125" s="88"/>
      <c r="G125" s="88"/>
      <c r="H125" s="89"/>
      <c r="J125" s="88"/>
    </row>
    <row r="126">
      <c r="B126" s="87"/>
      <c r="C126" s="87"/>
      <c r="D126" s="88"/>
      <c r="E126" s="88"/>
      <c r="F126" s="88"/>
      <c r="G126" s="88"/>
      <c r="H126" s="89"/>
      <c r="J126" s="88"/>
    </row>
    <row r="127">
      <c r="B127" s="87"/>
      <c r="C127" s="87"/>
      <c r="D127" s="88"/>
      <c r="E127" s="88"/>
      <c r="F127" s="88"/>
      <c r="G127" s="88"/>
      <c r="H127" s="89"/>
      <c r="J127" s="88"/>
    </row>
    <row r="128">
      <c r="B128" s="87"/>
      <c r="C128" s="87"/>
      <c r="D128" s="88"/>
      <c r="E128" s="88"/>
      <c r="F128" s="88"/>
      <c r="G128" s="88"/>
      <c r="H128" s="89"/>
      <c r="J128" s="88"/>
    </row>
    <row r="129">
      <c r="B129" s="87"/>
      <c r="C129" s="87"/>
      <c r="D129" s="88"/>
      <c r="E129" s="88"/>
      <c r="F129" s="88"/>
      <c r="G129" s="88"/>
      <c r="H129" s="89"/>
      <c r="J129" s="88"/>
    </row>
    <row r="130">
      <c r="B130" s="87"/>
      <c r="C130" s="87"/>
      <c r="D130" s="88"/>
      <c r="E130" s="88"/>
      <c r="F130" s="88"/>
      <c r="G130" s="88"/>
      <c r="H130" s="89"/>
      <c r="J130" s="88"/>
    </row>
    <row r="131">
      <c r="B131" s="87"/>
      <c r="C131" s="87"/>
      <c r="D131" s="88"/>
      <c r="E131" s="88"/>
      <c r="F131" s="88"/>
      <c r="G131" s="88"/>
      <c r="H131" s="89"/>
      <c r="J131" s="88"/>
    </row>
    <row r="132">
      <c r="B132" s="87"/>
      <c r="C132" s="87"/>
      <c r="D132" s="88"/>
      <c r="E132" s="88"/>
      <c r="F132" s="88"/>
      <c r="G132" s="88"/>
      <c r="H132" s="89"/>
      <c r="J132" s="88"/>
    </row>
    <row r="133">
      <c r="B133" s="87"/>
      <c r="C133" s="87"/>
      <c r="D133" s="88"/>
      <c r="E133" s="88"/>
      <c r="F133" s="88"/>
      <c r="G133" s="88"/>
      <c r="H133" s="89"/>
      <c r="J133" s="88"/>
    </row>
    <row r="134">
      <c r="B134" s="87"/>
      <c r="C134" s="87"/>
      <c r="D134" s="88"/>
      <c r="E134" s="88"/>
      <c r="F134" s="88"/>
      <c r="G134" s="88"/>
      <c r="H134" s="89"/>
      <c r="J134" s="88"/>
    </row>
    <row r="135">
      <c r="B135" s="87"/>
      <c r="C135" s="87"/>
      <c r="D135" s="88"/>
      <c r="E135" s="88"/>
      <c r="F135" s="88"/>
      <c r="G135" s="88"/>
      <c r="H135" s="89"/>
      <c r="J135" s="88"/>
    </row>
    <row r="136">
      <c r="B136" s="87"/>
      <c r="C136" s="87"/>
      <c r="D136" s="88"/>
      <c r="E136" s="88"/>
      <c r="F136" s="88"/>
      <c r="G136" s="88"/>
      <c r="H136" s="89"/>
      <c r="J136" s="88"/>
    </row>
    <row r="137">
      <c r="B137" s="87"/>
      <c r="C137" s="87"/>
      <c r="D137" s="88"/>
      <c r="E137" s="88"/>
      <c r="F137" s="88"/>
      <c r="G137" s="88"/>
      <c r="H137" s="89"/>
      <c r="J137" s="88"/>
    </row>
    <row r="138">
      <c r="B138" s="87"/>
      <c r="C138" s="87"/>
      <c r="D138" s="88"/>
      <c r="E138" s="88"/>
      <c r="F138" s="88"/>
      <c r="G138" s="88"/>
      <c r="H138" s="89"/>
      <c r="J138" s="88"/>
    </row>
    <row r="139">
      <c r="B139" s="87"/>
      <c r="C139" s="87"/>
      <c r="D139" s="88"/>
      <c r="E139" s="88"/>
      <c r="F139" s="88"/>
      <c r="G139" s="88"/>
      <c r="H139" s="89"/>
      <c r="J139" s="88"/>
    </row>
    <row r="140">
      <c r="B140" s="87"/>
      <c r="C140" s="87"/>
      <c r="D140" s="88"/>
      <c r="E140" s="88"/>
      <c r="F140" s="88"/>
      <c r="G140" s="88"/>
      <c r="H140" s="89"/>
      <c r="J140" s="88"/>
    </row>
    <row r="141">
      <c r="B141" s="87"/>
      <c r="C141" s="87"/>
      <c r="D141" s="88"/>
      <c r="E141" s="88"/>
      <c r="F141" s="88"/>
      <c r="G141" s="88"/>
      <c r="H141" s="89"/>
      <c r="J141" s="88"/>
    </row>
    <row r="142">
      <c r="B142" s="87"/>
      <c r="C142" s="87"/>
      <c r="D142" s="88"/>
      <c r="E142" s="88"/>
      <c r="F142" s="88"/>
      <c r="G142" s="88"/>
      <c r="H142" s="89"/>
      <c r="J142" s="88"/>
    </row>
    <row r="143">
      <c r="B143" s="87"/>
      <c r="C143" s="87"/>
      <c r="D143" s="88"/>
      <c r="E143" s="88"/>
      <c r="F143" s="88"/>
      <c r="G143" s="88"/>
      <c r="H143" s="89"/>
      <c r="J143" s="88"/>
    </row>
    <row r="144">
      <c r="B144" s="87"/>
      <c r="C144" s="87"/>
      <c r="D144" s="88"/>
      <c r="E144" s="88"/>
      <c r="F144" s="88"/>
      <c r="G144" s="88"/>
      <c r="H144" s="89"/>
      <c r="J144" s="88"/>
    </row>
    <row r="145">
      <c r="B145" s="87"/>
      <c r="C145" s="87"/>
      <c r="D145" s="88"/>
      <c r="E145" s="88"/>
      <c r="F145" s="88"/>
      <c r="G145" s="88"/>
      <c r="H145" s="89"/>
      <c r="J145" s="88"/>
    </row>
    <row r="146">
      <c r="B146" s="87"/>
      <c r="C146" s="87"/>
      <c r="D146" s="88"/>
      <c r="E146" s="88"/>
      <c r="F146" s="88"/>
      <c r="G146" s="88"/>
      <c r="H146" s="89"/>
      <c r="J146" s="88"/>
    </row>
    <row r="147">
      <c r="B147" s="87"/>
      <c r="C147" s="87"/>
      <c r="D147" s="88"/>
      <c r="E147" s="88"/>
      <c r="F147" s="88"/>
      <c r="G147" s="88"/>
      <c r="H147" s="89"/>
      <c r="J147" s="88"/>
    </row>
    <row r="148">
      <c r="B148" s="87"/>
      <c r="C148" s="87"/>
      <c r="D148" s="88"/>
      <c r="E148" s="88"/>
      <c r="F148" s="88"/>
      <c r="G148" s="88"/>
      <c r="H148" s="89"/>
      <c r="J148" s="88"/>
    </row>
    <row r="149">
      <c r="B149" s="87"/>
      <c r="C149" s="87"/>
      <c r="D149" s="88"/>
      <c r="E149" s="88"/>
      <c r="F149" s="88"/>
      <c r="G149" s="88"/>
      <c r="H149" s="89"/>
      <c r="J149" s="88"/>
    </row>
    <row r="150">
      <c r="B150" s="87"/>
      <c r="C150" s="87"/>
      <c r="D150" s="88"/>
      <c r="E150" s="88"/>
      <c r="F150" s="88"/>
      <c r="G150" s="88"/>
      <c r="H150" s="89"/>
      <c r="J150" s="88"/>
    </row>
    <row r="151">
      <c r="B151" s="87"/>
      <c r="C151" s="87"/>
      <c r="D151" s="88"/>
      <c r="E151" s="88"/>
      <c r="F151" s="88"/>
      <c r="G151" s="88"/>
      <c r="H151" s="89"/>
      <c r="J151" s="88"/>
    </row>
    <row r="152">
      <c r="B152" s="87"/>
      <c r="C152" s="87"/>
      <c r="D152" s="88"/>
      <c r="E152" s="88"/>
      <c r="F152" s="88"/>
      <c r="G152" s="88"/>
      <c r="H152" s="89"/>
      <c r="J152" s="88"/>
    </row>
    <row r="153">
      <c r="B153" s="87"/>
      <c r="C153" s="87"/>
      <c r="D153" s="88"/>
      <c r="E153" s="88"/>
      <c r="F153" s="88"/>
      <c r="G153" s="88"/>
      <c r="H153" s="89"/>
      <c r="J153" s="88"/>
    </row>
    <row r="154">
      <c r="B154" s="87"/>
      <c r="C154" s="87"/>
      <c r="D154" s="88"/>
      <c r="E154" s="88"/>
      <c r="F154" s="88"/>
      <c r="G154" s="88"/>
      <c r="H154" s="89"/>
      <c r="J154" s="88"/>
    </row>
    <row r="155">
      <c r="B155" s="87"/>
      <c r="C155" s="87"/>
      <c r="D155" s="88"/>
      <c r="E155" s="88"/>
      <c r="F155" s="88"/>
      <c r="G155" s="88"/>
      <c r="H155" s="89"/>
      <c r="J155" s="88"/>
    </row>
    <row r="156">
      <c r="B156" s="87"/>
      <c r="C156" s="87"/>
      <c r="D156" s="88"/>
      <c r="E156" s="88"/>
      <c r="F156" s="88"/>
      <c r="G156" s="88"/>
      <c r="H156" s="89"/>
      <c r="J156" s="88"/>
    </row>
    <row r="157">
      <c r="B157" s="87"/>
      <c r="C157" s="87"/>
      <c r="D157" s="88"/>
      <c r="E157" s="88"/>
      <c r="F157" s="88"/>
      <c r="G157" s="88"/>
      <c r="H157" s="89"/>
      <c r="J157" s="88"/>
    </row>
    <row r="158">
      <c r="B158" s="87"/>
      <c r="C158" s="87"/>
      <c r="D158" s="88"/>
      <c r="E158" s="88"/>
      <c r="F158" s="88"/>
      <c r="G158" s="88"/>
      <c r="H158" s="89"/>
      <c r="J158" s="88"/>
    </row>
    <row r="159">
      <c r="B159" s="87"/>
      <c r="C159" s="87"/>
      <c r="D159" s="88"/>
      <c r="E159" s="88"/>
      <c r="F159" s="88"/>
      <c r="G159" s="88"/>
      <c r="H159" s="89"/>
      <c r="J159" s="88"/>
    </row>
    <row r="160">
      <c r="B160" s="87"/>
      <c r="C160" s="87"/>
      <c r="D160" s="88"/>
      <c r="E160" s="88"/>
      <c r="F160" s="88"/>
      <c r="G160" s="88"/>
      <c r="H160" s="89"/>
      <c r="J160" s="88"/>
    </row>
    <row r="161">
      <c r="B161" s="87"/>
      <c r="C161" s="87"/>
      <c r="D161" s="88"/>
      <c r="E161" s="88"/>
      <c r="F161" s="88"/>
      <c r="G161" s="88"/>
      <c r="H161" s="89"/>
      <c r="J161" s="88"/>
    </row>
    <row r="162">
      <c r="B162" s="87"/>
      <c r="C162" s="87"/>
      <c r="D162" s="88"/>
      <c r="E162" s="88"/>
      <c r="F162" s="88"/>
      <c r="G162" s="88"/>
      <c r="H162" s="89"/>
      <c r="J162" s="88"/>
    </row>
    <row r="163">
      <c r="B163" s="87"/>
      <c r="C163" s="87"/>
      <c r="D163" s="88"/>
      <c r="E163" s="88"/>
      <c r="F163" s="88"/>
      <c r="G163" s="88"/>
      <c r="H163" s="89"/>
      <c r="J163" s="88"/>
    </row>
    <row r="164">
      <c r="B164" s="87"/>
      <c r="C164" s="87"/>
      <c r="D164" s="88"/>
      <c r="E164" s="88"/>
      <c r="F164" s="88"/>
      <c r="G164" s="88"/>
      <c r="H164" s="89"/>
      <c r="J164" s="88"/>
    </row>
    <row r="165">
      <c r="B165" s="87"/>
      <c r="C165" s="87"/>
      <c r="D165" s="88"/>
      <c r="E165" s="88"/>
      <c r="F165" s="88"/>
      <c r="G165" s="88"/>
      <c r="H165" s="89"/>
      <c r="J165" s="88"/>
    </row>
    <row r="166">
      <c r="B166" s="87"/>
      <c r="C166" s="87"/>
      <c r="D166" s="88"/>
      <c r="E166" s="88"/>
      <c r="F166" s="88"/>
      <c r="G166" s="88"/>
      <c r="H166" s="89"/>
      <c r="J166" s="88"/>
    </row>
    <row r="167">
      <c r="B167" s="87"/>
      <c r="C167" s="87"/>
      <c r="D167" s="88"/>
      <c r="E167" s="88"/>
      <c r="F167" s="88"/>
      <c r="G167" s="88"/>
      <c r="H167" s="89"/>
      <c r="J167" s="88"/>
    </row>
    <row r="168">
      <c r="B168" s="87"/>
      <c r="C168" s="87"/>
      <c r="D168" s="88"/>
      <c r="E168" s="88"/>
      <c r="F168" s="88"/>
      <c r="G168" s="88"/>
      <c r="H168" s="89"/>
      <c r="J168" s="88"/>
    </row>
    <row r="169">
      <c r="B169" s="87"/>
      <c r="C169" s="87"/>
      <c r="D169" s="88"/>
      <c r="E169" s="88"/>
      <c r="F169" s="88"/>
      <c r="G169" s="88"/>
      <c r="H169" s="89"/>
      <c r="J169" s="88"/>
    </row>
    <row r="170">
      <c r="B170" s="87"/>
      <c r="C170" s="87"/>
      <c r="D170" s="88"/>
      <c r="E170" s="88"/>
      <c r="F170" s="88"/>
      <c r="G170" s="88"/>
      <c r="H170" s="89"/>
      <c r="J170" s="88"/>
    </row>
    <row r="171">
      <c r="B171" s="87"/>
      <c r="C171" s="87"/>
      <c r="D171" s="88"/>
      <c r="E171" s="88"/>
      <c r="F171" s="88"/>
      <c r="G171" s="88"/>
      <c r="H171" s="89"/>
      <c r="J171" s="88"/>
    </row>
    <row r="172">
      <c r="B172" s="87"/>
      <c r="C172" s="87"/>
      <c r="D172" s="88"/>
      <c r="E172" s="88"/>
      <c r="F172" s="88"/>
      <c r="G172" s="88"/>
      <c r="H172" s="89"/>
      <c r="J172" s="88"/>
    </row>
    <row r="173">
      <c r="B173" s="87"/>
      <c r="C173" s="87"/>
      <c r="D173" s="88"/>
      <c r="E173" s="88"/>
      <c r="F173" s="88"/>
      <c r="G173" s="88"/>
      <c r="H173" s="89"/>
      <c r="J173" s="88"/>
    </row>
    <row r="174">
      <c r="B174" s="87"/>
      <c r="C174" s="87"/>
      <c r="D174" s="88"/>
      <c r="E174" s="88"/>
      <c r="F174" s="88"/>
      <c r="G174" s="88"/>
      <c r="H174" s="89"/>
      <c r="J174" s="88"/>
    </row>
    <row r="175">
      <c r="B175" s="87"/>
      <c r="C175" s="87"/>
      <c r="D175" s="88"/>
      <c r="E175" s="88"/>
      <c r="F175" s="88"/>
      <c r="G175" s="88"/>
      <c r="H175" s="89"/>
      <c r="J175" s="88"/>
    </row>
    <row r="176">
      <c r="B176" s="87"/>
      <c r="C176" s="87"/>
      <c r="D176" s="88"/>
      <c r="E176" s="88"/>
      <c r="F176" s="88"/>
      <c r="G176" s="88"/>
      <c r="H176" s="89"/>
      <c r="J176" s="88"/>
    </row>
    <row r="177">
      <c r="B177" s="87"/>
      <c r="C177" s="87"/>
      <c r="D177" s="88"/>
      <c r="E177" s="88"/>
      <c r="F177" s="88"/>
      <c r="G177" s="88"/>
      <c r="H177" s="89"/>
      <c r="J177" s="88"/>
    </row>
    <row r="178">
      <c r="B178" s="87"/>
      <c r="C178" s="87"/>
      <c r="D178" s="88"/>
      <c r="E178" s="88"/>
      <c r="F178" s="88"/>
      <c r="G178" s="88"/>
      <c r="H178" s="89"/>
      <c r="J178" s="88"/>
    </row>
    <row r="179">
      <c r="B179" s="87"/>
      <c r="C179" s="87"/>
      <c r="D179" s="88"/>
      <c r="E179" s="88"/>
      <c r="F179" s="88"/>
      <c r="G179" s="88"/>
      <c r="H179" s="89"/>
      <c r="J179" s="88"/>
    </row>
    <row r="180">
      <c r="B180" s="87"/>
      <c r="C180" s="87"/>
      <c r="D180" s="88"/>
      <c r="E180" s="88"/>
      <c r="F180" s="88"/>
      <c r="G180" s="88"/>
      <c r="H180" s="89"/>
      <c r="J180" s="88"/>
    </row>
    <row r="181">
      <c r="B181" s="87"/>
      <c r="C181" s="87"/>
      <c r="D181" s="88"/>
      <c r="E181" s="88"/>
      <c r="F181" s="88"/>
      <c r="G181" s="88"/>
      <c r="H181" s="89"/>
      <c r="J181" s="88"/>
    </row>
    <row r="182">
      <c r="B182" s="87"/>
      <c r="C182" s="87"/>
      <c r="D182" s="88"/>
      <c r="E182" s="88"/>
      <c r="F182" s="88"/>
      <c r="G182" s="88"/>
      <c r="H182" s="89"/>
      <c r="J182" s="88"/>
    </row>
    <row r="183">
      <c r="B183" s="87"/>
      <c r="C183" s="87"/>
      <c r="D183" s="88"/>
      <c r="E183" s="88"/>
      <c r="F183" s="88"/>
      <c r="G183" s="88"/>
      <c r="H183" s="89"/>
      <c r="J183" s="88"/>
    </row>
    <row r="184">
      <c r="B184" s="87"/>
      <c r="C184" s="87"/>
      <c r="D184" s="88"/>
      <c r="E184" s="88"/>
      <c r="F184" s="88"/>
      <c r="G184" s="88"/>
      <c r="H184" s="89"/>
      <c r="J184" s="88"/>
    </row>
    <row r="185">
      <c r="B185" s="87"/>
      <c r="C185" s="87"/>
      <c r="D185" s="88"/>
      <c r="E185" s="88"/>
      <c r="F185" s="88"/>
      <c r="G185" s="88"/>
      <c r="H185" s="89"/>
      <c r="J185" s="88"/>
    </row>
    <row r="186">
      <c r="B186" s="87"/>
      <c r="C186" s="87"/>
      <c r="D186" s="88"/>
      <c r="E186" s="88"/>
      <c r="F186" s="88"/>
      <c r="G186" s="88"/>
      <c r="H186" s="89"/>
      <c r="J186" s="88"/>
    </row>
    <row r="187">
      <c r="B187" s="87"/>
      <c r="C187" s="87"/>
      <c r="D187" s="88"/>
      <c r="E187" s="88"/>
      <c r="F187" s="88"/>
      <c r="G187" s="88"/>
      <c r="H187" s="89"/>
      <c r="J187" s="88"/>
    </row>
    <row r="188">
      <c r="B188" s="87"/>
      <c r="C188" s="87"/>
      <c r="D188" s="88"/>
      <c r="E188" s="88"/>
      <c r="F188" s="88"/>
      <c r="G188" s="88"/>
      <c r="H188" s="89"/>
      <c r="J188" s="88"/>
    </row>
    <row r="189">
      <c r="B189" s="87"/>
      <c r="C189" s="87"/>
      <c r="D189" s="88"/>
      <c r="E189" s="88"/>
      <c r="F189" s="88"/>
      <c r="G189" s="88"/>
      <c r="H189" s="89"/>
      <c r="J189" s="88"/>
    </row>
    <row r="190">
      <c r="B190" s="87"/>
      <c r="C190" s="87"/>
      <c r="D190" s="88"/>
      <c r="E190" s="88"/>
      <c r="F190" s="88"/>
      <c r="G190" s="88"/>
      <c r="H190" s="89"/>
      <c r="J190" s="88"/>
    </row>
    <row r="191">
      <c r="B191" s="87"/>
      <c r="C191" s="87"/>
      <c r="D191" s="88"/>
      <c r="E191" s="88"/>
      <c r="F191" s="88"/>
      <c r="G191" s="88"/>
      <c r="H191" s="89"/>
      <c r="J191" s="88"/>
    </row>
    <row r="192">
      <c r="B192" s="87"/>
      <c r="C192" s="87"/>
      <c r="D192" s="88"/>
      <c r="E192" s="88"/>
      <c r="F192" s="88"/>
      <c r="G192" s="88"/>
      <c r="H192" s="89"/>
      <c r="J192" s="88"/>
    </row>
    <row r="193">
      <c r="B193" s="87"/>
      <c r="C193" s="87"/>
      <c r="D193" s="88"/>
      <c r="E193" s="88"/>
      <c r="F193" s="88"/>
      <c r="G193" s="88"/>
      <c r="H193" s="89"/>
      <c r="J193" s="88"/>
    </row>
    <row r="194">
      <c r="B194" s="87"/>
      <c r="C194" s="87"/>
      <c r="D194" s="88"/>
      <c r="E194" s="88"/>
      <c r="F194" s="88"/>
      <c r="G194" s="88"/>
      <c r="H194" s="89"/>
      <c r="J194" s="88"/>
    </row>
    <row r="195">
      <c r="B195" s="87"/>
      <c r="C195" s="87"/>
      <c r="D195" s="88"/>
      <c r="E195" s="88"/>
      <c r="F195" s="88"/>
      <c r="G195" s="88"/>
      <c r="H195" s="89"/>
      <c r="J195" s="88"/>
    </row>
    <row r="196">
      <c r="B196" s="87"/>
      <c r="C196" s="87"/>
      <c r="D196" s="88"/>
      <c r="E196" s="88"/>
      <c r="F196" s="88"/>
      <c r="G196" s="88"/>
      <c r="H196" s="89"/>
      <c r="J196" s="88"/>
    </row>
    <row r="197">
      <c r="B197" s="87"/>
      <c r="C197" s="87"/>
      <c r="D197" s="88"/>
      <c r="E197" s="88"/>
      <c r="F197" s="88"/>
      <c r="G197" s="88"/>
      <c r="H197" s="89"/>
      <c r="J197" s="88"/>
    </row>
    <row r="198">
      <c r="B198" s="87"/>
      <c r="C198" s="87"/>
      <c r="D198" s="88"/>
      <c r="E198" s="88"/>
      <c r="F198" s="88"/>
      <c r="G198" s="88"/>
      <c r="H198" s="89"/>
      <c r="J198" s="88"/>
    </row>
    <row r="199">
      <c r="B199" s="87"/>
      <c r="C199" s="87"/>
      <c r="D199" s="88"/>
      <c r="E199" s="88"/>
      <c r="F199" s="88"/>
      <c r="G199" s="88"/>
      <c r="H199" s="89"/>
      <c r="J199" s="88"/>
    </row>
    <row r="200">
      <c r="B200" s="87"/>
      <c r="C200" s="87"/>
      <c r="D200" s="88"/>
      <c r="E200" s="88"/>
      <c r="F200" s="88"/>
      <c r="G200" s="88"/>
      <c r="H200" s="89"/>
      <c r="J200" s="88"/>
    </row>
    <row r="201">
      <c r="B201" s="87"/>
      <c r="C201" s="87"/>
      <c r="D201" s="88"/>
      <c r="E201" s="88"/>
      <c r="F201" s="88"/>
      <c r="G201" s="88"/>
      <c r="H201" s="89"/>
      <c r="J201" s="88"/>
    </row>
    <row r="202">
      <c r="B202" s="87"/>
      <c r="C202" s="87"/>
      <c r="D202" s="88"/>
      <c r="E202" s="88"/>
      <c r="F202" s="88"/>
      <c r="G202" s="88"/>
      <c r="H202" s="89"/>
      <c r="J202" s="88"/>
    </row>
    <row r="203">
      <c r="B203" s="87"/>
      <c r="C203" s="87"/>
      <c r="D203" s="88"/>
      <c r="E203" s="88"/>
      <c r="F203" s="88"/>
      <c r="G203" s="88"/>
      <c r="H203" s="89"/>
      <c r="J203" s="88"/>
    </row>
    <row r="204">
      <c r="B204" s="87"/>
      <c r="C204" s="87"/>
      <c r="D204" s="88"/>
      <c r="E204" s="88"/>
      <c r="F204" s="88"/>
      <c r="G204" s="88"/>
      <c r="H204" s="89"/>
      <c r="J204" s="88"/>
    </row>
    <row r="205">
      <c r="B205" s="87"/>
      <c r="C205" s="87"/>
      <c r="D205" s="88"/>
      <c r="E205" s="88"/>
      <c r="F205" s="88"/>
      <c r="G205" s="88"/>
      <c r="H205" s="89"/>
      <c r="J205" s="88"/>
    </row>
    <row r="206">
      <c r="B206" s="87"/>
      <c r="C206" s="87"/>
      <c r="D206" s="88"/>
      <c r="E206" s="88"/>
      <c r="F206" s="88"/>
      <c r="G206" s="88"/>
      <c r="H206" s="89"/>
      <c r="J206" s="88"/>
    </row>
    <row r="207">
      <c r="B207" s="87"/>
      <c r="C207" s="87"/>
      <c r="D207" s="88"/>
      <c r="E207" s="88"/>
      <c r="F207" s="88"/>
      <c r="G207" s="88"/>
      <c r="H207" s="89"/>
      <c r="J207" s="88"/>
    </row>
    <row r="208">
      <c r="B208" s="87"/>
      <c r="C208" s="87"/>
      <c r="D208" s="88"/>
      <c r="E208" s="88"/>
      <c r="F208" s="88"/>
      <c r="G208" s="88"/>
      <c r="H208" s="89"/>
      <c r="J208" s="88"/>
    </row>
    <row r="209">
      <c r="B209" s="87"/>
      <c r="C209" s="87"/>
      <c r="D209" s="88"/>
      <c r="E209" s="88"/>
      <c r="F209" s="88"/>
      <c r="G209" s="88"/>
      <c r="H209" s="89"/>
      <c r="J209" s="88"/>
    </row>
    <row r="210">
      <c r="B210" s="87"/>
      <c r="C210" s="87"/>
      <c r="D210" s="88"/>
      <c r="E210" s="88"/>
      <c r="F210" s="88"/>
      <c r="G210" s="88"/>
      <c r="H210" s="89"/>
      <c r="J210" s="88"/>
    </row>
    <row r="211">
      <c r="B211" s="87"/>
      <c r="C211" s="87"/>
      <c r="D211" s="88"/>
      <c r="E211" s="88"/>
      <c r="F211" s="88"/>
      <c r="G211" s="88"/>
      <c r="H211" s="89"/>
      <c r="J211" s="88"/>
    </row>
    <row r="212">
      <c r="B212" s="87"/>
      <c r="C212" s="87"/>
      <c r="D212" s="88"/>
      <c r="E212" s="88"/>
      <c r="F212" s="88"/>
      <c r="G212" s="88"/>
      <c r="H212" s="89"/>
      <c r="J212" s="88"/>
    </row>
    <row r="213">
      <c r="B213" s="87"/>
      <c r="C213" s="87"/>
      <c r="D213" s="88"/>
      <c r="E213" s="88"/>
      <c r="F213" s="88"/>
      <c r="G213" s="88"/>
      <c r="H213" s="89"/>
      <c r="J213" s="88"/>
    </row>
    <row r="214">
      <c r="B214" s="87"/>
      <c r="C214" s="87"/>
      <c r="D214" s="88"/>
      <c r="E214" s="88"/>
      <c r="F214" s="88"/>
      <c r="G214" s="88"/>
      <c r="H214" s="89"/>
      <c r="J214" s="88"/>
    </row>
    <row r="215">
      <c r="B215" s="87"/>
      <c r="C215" s="87"/>
      <c r="D215" s="88"/>
      <c r="E215" s="88"/>
      <c r="F215" s="88"/>
      <c r="G215" s="88"/>
      <c r="H215" s="89"/>
      <c r="J215" s="88"/>
    </row>
    <row r="216">
      <c r="B216" s="87"/>
      <c r="C216" s="87"/>
      <c r="D216" s="88"/>
      <c r="E216" s="88"/>
      <c r="F216" s="88"/>
      <c r="G216" s="88"/>
      <c r="H216" s="89"/>
      <c r="J216" s="88"/>
    </row>
    <row r="217">
      <c r="B217" s="87"/>
      <c r="C217" s="87"/>
      <c r="D217" s="88"/>
      <c r="E217" s="88"/>
      <c r="F217" s="88"/>
      <c r="G217" s="88"/>
      <c r="H217" s="89"/>
      <c r="J217" s="88"/>
    </row>
    <row r="218">
      <c r="B218" s="87"/>
      <c r="C218" s="87"/>
      <c r="D218" s="88"/>
      <c r="E218" s="88"/>
      <c r="F218" s="88"/>
      <c r="G218" s="88"/>
      <c r="H218" s="89"/>
      <c r="J218" s="88"/>
    </row>
    <row r="219">
      <c r="B219" s="87"/>
      <c r="C219" s="87"/>
      <c r="D219" s="88"/>
      <c r="E219" s="88"/>
      <c r="F219" s="88"/>
      <c r="G219" s="88"/>
      <c r="H219" s="89"/>
      <c r="J219" s="88"/>
    </row>
    <row r="220">
      <c r="B220" s="87"/>
      <c r="C220" s="87"/>
      <c r="D220" s="88"/>
      <c r="E220" s="88"/>
      <c r="F220" s="88"/>
      <c r="G220" s="88"/>
      <c r="H220" s="89"/>
      <c r="J220" s="88"/>
    </row>
    <row r="221">
      <c r="B221" s="87"/>
      <c r="C221" s="87"/>
      <c r="D221" s="88"/>
      <c r="E221" s="88"/>
      <c r="F221" s="88"/>
      <c r="G221" s="88"/>
      <c r="H221" s="89"/>
      <c r="J221" s="88"/>
    </row>
    <row r="222">
      <c r="B222" s="87"/>
      <c r="C222" s="87"/>
      <c r="D222" s="88"/>
      <c r="E222" s="88"/>
      <c r="F222" s="88"/>
      <c r="G222" s="88"/>
      <c r="H222" s="89"/>
      <c r="J222" s="88"/>
    </row>
    <row r="223">
      <c r="B223" s="87"/>
      <c r="C223" s="87"/>
      <c r="D223" s="88"/>
      <c r="E223" s="88"/>
      <c r="F223" s="88"/>
      <c r="G223" s="88"/>
      <c r="H223" s="89"/>
      <c r="J223" s="88"/>
    </row>
    <row r="224">
      <c r="B224" s="87"/>
      <c r="C224" s="87"/>
      <c r="D224" s="88"/>
      <c r="E224" s="88"/>
      <c r="F224" s="88"/>
      <c r="G224" s="88"/>
      <c r="H224" s="89"/>
      <c r="J224" s="88"/>
    </row>
    <row r="225">
      <c r="B225" s="87"/>
      <c r="C225" s="87"/>
      <c r="D225" s="88"/>
      <c r="E225" s="88"/>
      <c r="F225" s="88"/>
      <c r="G225" s="88"/>
      <c r="H225" s="89"/>
      <c r="J225" s="88"/>
    </row>
    <row r="226">
      <c r="B226" s="87"/>
      <c r="C226" s="87"/>
      <c r="D226" s="88"/>
      <c r="E226" s="88"/>
      <c r="F226" s="88"/>
      <c r="G226" s="88"/>
      <c r="H226" s="89"/>
      <c r="J226" s="88"/>
    </row>
    <row r="227">
      <c r="B227" s="87"/>
      <c r="C227" s="87"/>
      <c r="D227" s="88"/>
      <c r="E227" s="88"/>
      <c r="F227" s="88"/>
      <c r="G227" s="88"/>
      <c r="H227" s="89"/>
      <c r="J227" s="88"/>
    </row>
    <row r="228">
      <c r="B228" s="87"/>
      <c r="C228" s="87"/>
      <c r="D228" s="88"/>
      <c r="E228" s="88"/>
      <c r="F228" s="88"/>
      <c r="G228" s="88"/>
      <c r="H228" s="89"/>
      <c r="J228" s="88"/>
    </row>
    <row r="229">
      <c r="B229" s="87"/>
      <c r="C229" s="87"/>
      <c r="D229" s="88"/>
      <c r="E229" s="88"/>
      <c r="F229" s="88"/>
      <c r="G229" s="88"/>
      <c r="H229" s="89"/>
      <c r="J229" s="88"/>
    </row>
    <row r="230">
      <c r="B230" s="87"/>
      <c r="C230" s="87"/>
      <c r="D230" s="88"/>
      <c r="E230" s="88"/>
      <c r="F230" s="88"/>
      <c r="G230" s="88"/>
      <c r="H230" s="89"/>
      <c r="J230" s="88"/>
    </row>
    <row r="231">
      <c r="B231" s="87"/>
      <c r="C231" s="87"/>
      <c r="D231" s="88"/>
      <c r="E231" s="88"/>
      <c r="F231" s="88"/>
      <c r="G231" s="88"/>
      <c r="H231" s="89"/>
      <c r="J231" s="88"/>
    </row>
    <row r="232">
      <c r="B232" s="87"/>
      <c r="C232" s="87"/>
      <c r="D232" s="88"/>
      <c r="E232" s="88"/>
      <c r="F232" s="88"/>
      <c r="G232" s="88"/>
      <c r="H232" s="89"/>
      <c r="J232" s="88"/>
    </row>
    <row r="233">
      <c r="B233" s="87"/>
      <c r="C233" s="87"/>
      <c r="D233" s="88"/>
      <c r="E233" s="88"/>
      <c r="F233" s="88"/>
      <c r="G233" s="88"/>
      <c r="H233" s="89"/>
      <c r="J233" s="88"/>
    </row>
    <row r="234">
      <c r="B234" s="87"/>
      <c r="C234" s="87"/>
      <c r="D234" s="88"/>
      <c r="E234" s="88"/>
      <c r="F234" s="88"/>
      <c r="G234" s="88"/>
      <c r="H234" s="89"/>
      <c r="J234" s="88"/>
    </row>
    <row r="235">
      <c r="B235" s="87"/>
      <c r="C235" s="87"/>
      <c r="D235" s="88"/>
      <c r="E235" s="88"/>
      <c r="F235" s="88"/>
      <c r="G235" s="88"/>
      <c r="H235" s="89"/>
      <c r="J235" s="88"/>
    </row>
    <row r="236">
      <c r="B236" s="87"/>
      <c r="C236" s="87"/>
      <c r="D236" s="88"/>
      <c r="E236" s="88"/>
      <c r="F236" s="88"/>
      <c r="G236" s="88"/>
      <c r="H236" s="89"/>
      <c r="J236" s="88"/>
    </row>
    <row r="237">
      <c r="B237" s="87"/>
      <c r="C237" s="87"/>
      <c r="D237" s="88"/>
      <c r="E237" s="88"/>
      <c r="F237" s="88"/>
      <c r="G237" s="88"/>
      <c r="H237" s="89"/>
      <c r="J237" s="88"/>
    </row>
    <row r="238">
      <c r="B238" s="87"/>
      <c r="C238" s="87"/>
      <c r="D238" s="88"/>
      <c r="E238" s="88"/>
      <c r="F238" s="88"/>
      <c r="G238" s="88"/>
      <c r="H238" s="89"/>
      <c r="J238" s="88"/>
    </row>
    <row r="239">
      <c r="B239" s="87"/>
      <c r="C239" s="87"/>
      <c r="D239" s="88"/>
      <c r="E239" s="88"/>
      <c r="F239" s="88"/>
      <c r="G239" s="88"/>
      <c r="H239" s="89"/>
      <c r="J239" s="88"/>
    </row>
    <row r="240">
      <c r="B240" s="87"/>
      <c r="C240" s="87"/>
      <c r="D240" s="88"/>
      <c r="E240" s="88"/>
      <c r="F240" s="88"/>
      <c r="G240" s="88"/>
      <c r="H240" s="89"/>
      <c r="J240" s="88"/>
    </row>
    <row r="241">
      <c r="B241" s="87"/>
      <c r="C241" s="87"/>
      <c r="D241" s="88"/>
      <c r="E241" s="88"/>
      <c r="F241" s="88"/>
      <c r="G241" s="88"/>
      <c r="H241" s="89"/>
      <c r="J241" s="88"/>
    </row>
    <row r="242">
      <c r="B242" s="87"/>
      <c r="C242" s="87"/>
      <c r="D242" s="88"/>
      <c r="E242" s="88"/>
      <c r="F242" s="88"/>
      <c r="G242" s="88"/>
      <c r="H242" s="89"/>
      <c r="J242" s="88"/>
    </row>
    <row r="243">
      <c r="B243" s="87"/>
      <c r="C243" s="87"/>
      <c r="D243" s="88"/>
      <c r="E243" s="88"/>
      <c r="F243" s="88"/>
      <c r="G243" s="88"/>
      <c r="H243" s="89"/>
      <c r="J243" s="88"/>
    </row>
    <row r="244">
      <c r="B244" s="87"/>
      <c r="C244" s="87"/>
      <c r="D244" s="88"/>
      <c r="E244" s="88"/>
      <c r="F244" s="88"/>
      <c r="G244" s="88"/>
      <c r="H244" s="89"/>
      <c r="J244" s="88"/>
    </row>
    <row r="245">
      <c r="B245" s="87"/>
      <c r="C245" s="87"/>
      <c r="D245" s="88"/>
      <c r="E245" s="88"/>
      <c r="F245" s="88"/>
      <c r="G245" s="88"/>
      <c r="H245" s="89"/>
      <c r="J245" s="88"/>
    </row>
    <row r="246">
      <c r="B246" s="87"/>
      <c r="C246" s="87"/>
      <c r="D246" s="88"/>
      <c r="E246" s="88"/>
      <c r="F246" s="88"/>
      <c r="G246" s="88"/>
      <c r="H246" s="89"/>
      <c r="J246" s="88"/>
    </row>
    <row r="247">
      <c r="B247" s="87"/>
      <c r="C247" s="87"/>
      <c r="D247" s="88"/>
      <c r="E247" s="88"/>
      <c r="F247" s="88"/>
      <c r="G247" s="88"/>
      <c r="H247" s="89"/>
      <c r="J247" s="88"/>
    </row>
    <row r="248">
      <c r="B248" s="87"/>
      <c r="C248" s="87"/>
      <c r="D248" s="88"/>
      <c r="E248" s="88"/>
      <c r="F248" s="88"/>
      <c r="G248" s="88"/>
      <c r="H248" s="89"/>
      <c r="J248" s="88"/>
    </row>
    <row r="249">
      <c r="B249" s="87"/>
      <c r="C249" s="87"/>
      <c r="D249" s="88"/>
      <c r="E249" s="88"/>
      <c r="F249" s="88"/>
      <c r="G249" s="88"/>
      <c r="H249" s="89"/>
      <c r="J249" s="88"/>
    </row>
    <row r="250">
      <c r="B250" s="87"/>
      <c r="C250" s="87"/>
      <c r="D250" s="88"/>
      <c r="E250" s="88"/>
      <c r="F250" s="88"/>
      <c r="G250" s="88"/>
      <c r="H250" s="89"/>
      <c r="J250" s="88"/>
    </row>
    <row r="251">
      <c r="B251" s="87"/>
      <c r="C251" s="87"/>
      <c r="D251" s="88"/>
      <c r="E251" s="88"/>
      <c r="F251" s="88"/>
      <c r="G251" s="88"/>
      <c r="H251" s="89"/>
      <c r="J251" s="88"/>
    </row>
    <row r="252">
      <c r="B252" s="87"/>
      <c r="C252" s="87"/>
      <c r="D252" s="88"/>
      <c r="E252" s="88"/>
      <c r="F252" s="88"/>
      <c r="G252" s="88"/>
      <c r="H252" s="89"/>
      <c r="J252" s="88"/>
    </row>
    <row r="253">
      <c r="B253" s="87"/>
      <c r="C253" s="87"/>
      <c r="D253" s="88"/>
      <c r="E253" s="88"/>
      <c r="F253" s="88"/>
      <c r="G253" s="88"/>
      <c r="H253" s="89"/>
      <c r="J253" s="88"/>
    </row>
    <row r="254">
      <c r="B254" s="87"/>
      <c r="C254" s="87"/>
      <c r="D254" s="88"/>
      <c r="E254" s="88"/>
      <c r="F254" s="88"/>
      <c r="G254" s="88"/>
      <c r="H254" s="89"/>
      <c r="J254" s="88"/>
    </row>
    <row r="255">
      <c r="B255" s="87"/>
      <c r="C255" s="87"/>
      <c r="D255" s="88"/>
      <c r="E255" s="88"/>
      <c r="F255" s="88"/>
      <c r="G255" s="88"/>
      <c r="H255" s="89"/>
      <c r="J255" s="88"/>
    </row>
    <row r="256">
      <c r="B256" s="87"/>
      <c r="C256" s="87"/>
      <c r="D256" s="88"/>
      <c r="E256" s="88"/>
      <c r="F256" s="88"/>
      <c r="G256" s="88"/>
      <c r="H256" s="89"/>
      <c r="J256" s="88"/>
    </row>
    <row r="257">
      <c r="B257" s="87"/>
      <c r="C257" s="87"/>
      <c r="D257" s="88"/>
      <c r="E257" s="88"/>
      <c r="F257" s="88"/>
      <c r="G257" s="88"/>
      <c r="H257" s="89"/>
      <c r="J257" s="88"/>
    </row>
    <row r="258">
      <c r="B258" s="87"/>
      <c r="C258" s="87"/>
      <c r="D258" s="88"/>
      <c r="E258" s="88"/>
      <c r="F258" s="88"/>
      <c r="G258" s="88"/>
      <c r="H258" s="89"/>
      <c r="J258" s="88"/>
    </row>
    <row r="259">
      <c r="B259" s="87"/>
      <c r="C259" s="87"/>
      <c r="D259" s="88"/>
      <c r="E259" s="88"/>
      <c r="F259" s="88"/>
      <c r="G259" s="88"/>
      <c r="H259" s="89"/>
      <c r="J259" s="88"/>
    </row>
    <row r="260">
      <c r="B260" s="87"/>
      <c r="C260" s="87"/>
      <c r="D260" s="88"/>
      <c r="E260" s="88"/>
      <c r="F260" s="88"/>
      <c r="G260" s="88"/>
      <c r="H260" s="89"/>
      <c r="J260" s="88"/>
    </row>
    <row r="261">
      <c r="B261" s="87"/>
      <c r="C261" s="87"/>
      <c r="D261" s="88"/>
      <c r="E261" s="88"/>
      <c r="F261" s="88"/>
      <c r="G261" s="88"/>
      <c r="H261" s="89"/>
      <c r="J261" s="88"/>
    </row>
    <row r="262">
      <c r="B262" s="87"/>
      <c r="C262" s="87"/>
      <c r="D262" s="88"/>
      <c r="E262" s="88"/>
      <c r="F262" s="88"/>
      <c r="G262" s="88"/>
      <c r="H262" s="89"/>
      <c r="J262" s="88"/>
    </row>
    <row r="263">
      <c r="B263" s="87"/>
      <c r="C263" s="87"/>
      <c r="D263" s="88"/>
      <c r="E263" s="88"/>
      <c r="F263" s="88"/>
      <c r="G263" s="88"/>
      <c r="H263" s="89"/>
      <c r="J263" s="88"/>
    </row>
    <row r="264">
      <c r="B264" s="87"/>
      <c r="C264" s="87"/>
      <c r="D264" s="88"/>
      <c r="E264" s="88"/>
      <c r="F264" s="88"/>
      <c r="G264" s="88"/>
      <c r="H264" s="89"/>
      <c r="J264" s="88"/>
    </row>
    <row r="265">
      <c r="B265" s="87"/>
      <c r="C265" s="87"/>
      <c r="D265" s="88"/>
      <c r="E265" s="88"/>
      <c r="F265" s="88"/>
      <c r="G265" s="88"/>
      <c r="H265" s="89"/>
      <c r="J265" s="88"/>
    </row>
    <row r="266">
      <c r="B266" s="87"/>
      <c r="C266" s="87"/>
      <c r="D266" s="88"/>
      <c r="E266" s="88"/>
      <c r="F266" s="88"/>
      <c r="G266" s="88"/>
      <c r="H266" s="89"/>
      <c r="J266" s="88"/>
    </row>
    <row r="267">
      <c r="B267" s="87"/>
      <c r="C267" s="87"/>
      <c r="D267" s="88"/>
      <c r="E267" s="88"/>
      <c r="F267" s="88"/>
      <c r="G267" s="88"/>
      <c r="H267" s="89"/>
      <c r="J267" s="88"/>
    </row>
    <row r="268">
      <c r="B268" s="87"/>
      <c r="C268" s="87"/>
      <c r="D268" s="88"/>
      <c r="E268" s="88"/>
      <c r="F268" s="88"/>
      <c r="G268" s="88"/>
      <c r="H268" s="89"/>
      <c r="J268" s="88"/>
    </row>
    <row r="269">
      <c r="B269" s="87"/>
      <c r="C269" s="87"/>
      <c r="D269" s="88"/>
      <c r="E269" s="88"/>
      <c r="F269" s="88"/>
      <c r="G269" s="88"/>
      <c r="H269" s="89"/>
      <c r="J269" s="88"/>
    </row>
    <row r="270">
      <c r="B270" s="87"/>
      <c r="C270" s="87"/>
      <c r="D270" s="88"/>
      <c r="E270" s="88"/>
      <c r="F270" s="88"/>
      <c r="G270" s="88"/>
      <c r="H270" s="89"/>
      <c r="J270" s="88"/>
    </row>
    <row r="271">
      <c r="B271" s="87"/>
      <c r="C271" s="87"/>
      <c r="D271" s="88"/>
      <c r="E271" s="88"/>
      <c r="F271" s="88"/>
      <c r="G271" s="88"/>
      <c r="H271" s="89"/>
      <c r="J271" s="88"/>
    </row>
    <row r="272">
      <c r="B272" s="87"/>
      <c r="C272" s="87"/>
      <c r="D272" s="88"/>
      <c r="E272" s="88"/>
      <c r="F272" s="88"/>
      <c r="G272" s="88"/>
      <c r="H272" s="89"/>
      <c r="J272" s="88"/>
    </row>
    <row r="273">
      <c r="B273" s="87"/>
      <c r="C273" s="87"/>
      <c r="D273" s="88"/>
      <c r="E273" s="88"/>
      <c r="F273" s="88"/>
      <c r="G273" s="88"/>
      <c r="H273" s="89"/>
      <c r="J273" s="88"/>
    </row>
    <row r="274">
      <c r="B274" s="87"/>
      <c r="C274" s="87"/>
      <c r="D274" s="88"/>
      <c r="E274" s="88"/>
      <c r="F274" s="88"/>
      <c r="G274" s="88"/>
      <c r="H274" s="89"/>
      <c r="J274" s="88"/>
    </row>
    <row r="275">
      <c r="B275" s="87"/>
      <c r="C275" s="87"/>
      <c r="D275" s="88"/>
      <c r="E275" s="88"/>
      <c r="F275" s="88"/>
      <c r="G275" s="88"/>
      <c r="H275" s="89"/>
      <c r="J275" s="88"/>
    </row>
    <row r="276">
      <c r="B276" s="87"/>
      <c r="C276" s="87"/>
      <c r="D276" s="88"/>
      <c r="E276" s="88"/>
      <c r="F276" s="88"/>
      <c r="G276" s="88"/>
      <c r="H276" s="89"/>
      <c r="J276" s="88"/>
    </row>
    <row r="277">
      <c r="B277" s="87"/>
      <c r="C277" s="87"/>
      <c r="D277" s="88"/>
      <c r="E277" s="88"/>
      <c r="F277" s="88"/>
      <c r="G277" s="88"/>
      <c r="H277" s="89"/>
      <c r="J277" s="88"/>
    </row>
    <row r="278">
      <c r="B278" s="87"/>
      <c r="C278" s="87"/>
      <c r="D278" s="88"/>
      <c r="E278" s="88"/>
      <c r="F278" s="88"/>
      <c r="G278" s="88"/>
      <c r="H278" s="89"/>
      <c r="J278" s="88"/>
    </row>
    <row r="279">
      <c r="B279" s="87"/>
      <c r="C279" s="87"/>
      <c r="D279" s="88"/>
      <c r="E279" s="88"/>
      <c r="F279" s="88"/>
      <c r="G279" s="88"/>
      <c r="H279" s="89"/>
      <c r="J279" s="88"/>
    </row>
    <row r="280">
      <c r="B280" s="87"/>
      <c r="C280" s="87"/>
      <c r="D280" s="88"/>
      <c r="E280" s="88"/>
      <c r="F280" s="88"/>
      <c r="G280" s="88"/>
      <c r="H280" s="89"/>
      <c r="J280" s="88"/>
    </row>
    <row r="281">
      <c r="B281" s="87"/>
      <c r="C281" s="87"/>
      <c r="D281" s="88"/>
      <c r="E281" s="88"/>
      <c r="F281" s="88"/>
      <c r="G281" s="88"/>
      <c r="H281" s="89"/>
      <c r="J281" s="88"/>
    </row>
    <row r="282">
      <c r="B282" s="87"/>
      <c r="C282" s="87"/>
      <c r="D282" s="88"/>
      <c r="E282" s="88"/>
      <c r="F282" s="88"/>
      <c r="G282" s="88"/>
      <c r="H282" s="89"/>
      <c r="J282" s="88"/>
    </row>
    <row r="283">
      <c r="B283" s="87"/>
      <c r="C283" s="87"/>
      <c r="D283" s="88"/>
      <c r="E283" s="88"/>
      <c r="F283" s="88"/>
      <c r="G283" s="88"/>
      <c r="H283" s="89"/>
      <c r="J283" s="88"/>
    </row>
    <row r="284">
      <c r="B284" s="87"/>
      <c r="C284" s="87"/>
      <c r="D284" s="88"/>
      <c r="E284" s="88"/>
      <c r="F284" s="88"/>
      <c r="G284" s="88"/>
      <c r="H284" s="89"/>
      <c r="J284" s="88"/>
    </row>
    <row r="285">
      <c r="B285" s="87"/>
      <c r="C285" s="87"/>
      <c r="D285" s="88"/>
      <c r="E285" s="88"/>
      <c r="F285" s="88"/>
      <c r="G285" s="88"/>
      <c r="H285" s="89"/>
      <c r="J285" s="88"/>
    </row>
    <row r="286">
      <c r="B286" s="87"/>
      <c r="C286" s="87"/>
      <c r="D286" s="88"/>
      <c r="E286" s="88"/>
      <c r="F286" s="88"/>
      <c r="G286" s="88"/>
      <c r="H286" s="89"/>
      <c r="J286" s="88"/>
    </row>
    <row r="287">
      <c r="B287" s="87"/>
      <c r="C287" s="87"/>
      <c r="D287" s="88"/>
      <c r="E287" s="88"/>
      <c r="F287" s="88"/>
      <c r="G287" s="88"/>
      <c r="H287" s="89"/>
      <c r="J287" s="88"/>
    </row>
    <row r="288">
      <c r="B288" s="87"/>
      <c r="C288" s="87"/>
      <c r="D288" s="88"/>
      <c r="E288" s="88"/>
      <c r="F288" s="88"/>
      <c r="G288" s="88"/>
      <c r="H288" s="89"/>
      <c r="J288" s="88"/>
    </row>
    <row r="289">
      <c r="B289" s="87"/>
      <c r="C289" s="87"/>
      <c r="D289" s="88"/>
      <c r="E289" s="88"/>
      <c r="F289" s="88"/>
      <c r="G289" s="88"/>
      <c r="H289" s="89"/>
      <c r="J289" s="88"/>
    </row>
    <row r="290">
      <c r="B290" s="87"/>
      <c r="C290" s="87"/>
      <c r="D290" s="88"/>
      <c r="E290" s="88"/>
      <c r="F290" s="88"/>
      <c r="G290" s="88"/>
      <c r="H290" s="89"/>
      <c r="J290" s="88"/>
    </row>
    <row r="291">
      <c r="B291" s="87"/>
      <c r="C291" s="87"/>
      <c r="D291" s="88"/>
      <c r="E291" s="88"/>
      <c r="F291" s="88"/>
      <c r="G291" s="88"/>
      <c r="H291" s="89"/>
      <c r="J291" s="88"/>
    </row>
    <row r="292">
      <c r="B292" s="87"/>
      <c r="C292" s="87"/>
      <c r="D292" s="88"/>
      <c r="E292" s="88"/>
      <c r="F292" s="88"/>
      <c r="G292" s="88"/>
      <c r="H292" s="89"/>
      <c r="J292" s="88"/>
    </row>
    <row r="293">
      <c r="B293" s="87"/>
      <c r="C293" s="87"/>
      <c r="D293" s="88"/>
      <c r="E293" s="88"/>
      <c r="F293" s="88"/>
      <c r="G293" s="88"/>
      <c r="H293" s="89"/>
      <c r="J293" s="88"/>
    </row>
    <row r="294">
      <c r="B294" s="87"/>
      <c r="C294" s="87"/>
      <c r="D294" s="88"/>
      <c r="E294" s="88"/>
      <c r="F294" s="88"/>
      <c r="G294" s="88"/>
      <c r="H294" s="89"/>
      <c r="J294" s="88"/>
    </row>
    <row r="295">
      <c r="B295" s="87"/>
      <c r="C295" s="87"/>
      <c r="D295" s="88"/>
      <c r="E295" s="88"/>
      <c r="F295" s="88"/>
      <c r="G295" s="88"/>
      <c r="H295" s="89"/>
      <c r="J295" s="88"/>
    </row>
    <row r="296">
      <c r="B296" s="87"/>
      <c r="C296" s="87"/>
      <c r="D296" s="88"/>
      <c r="E296" s="88"/>
      <c r="F296" s="88"/>
      <c r="G296" s="88"/>
      <c r="H296" s="89"/>
      <c r="J296" s="88"/>
    </row>
    <row r="297">
      <c r="B297" s="87"/>
      <c r="C297" s="87"/>
      <c r="D297" s="88"/>
      <c r="E297" s="88"/>
      <c r="F297" s="88"/>
      <c r="G297" s="88"/>
      <c r="H297" s="89"/>
      <c r="J297" s="88"/>
    </row>
    <row r="298">
      <c r="B298" s="87"/>
      <c r="C298" s="87"/>
      <c r="D298" s="88"/>
      <c r="E298" s="88"/>
      <c r="F298" s="88"/>
      <c r="G298" s="88"/>
      <c r="H298" s="89"/>
      <c r="J298" s="88"/>
    </row>
    <row r="299">
      <c r="B299" s="87"/>
      <c r="C299" s="87"/>
      <c r="D299" s="88"/>
      <c r="E299" s="88"/>
      <c r="F299" s="88"/>
      <c r="G299" s="88"/>
      <c r="H299" s="89"/>
      <c r="J299" s="88"/>
    </row>
    <row r="300">
      <c r="B300" s="87"/>
      <c r="C300" s="87"/>
      <c r="D300" s="88"/>
      <c r="E300" s="88"/>
      <c r="F300" s="88"/>
      <c r="G300" s="88"/>
      <c r="H300" s="89"/>
      <c r="J300" s="88"/>
    </row>
    <row r="301">
      <c r="B301" s="87"/>
      <c r="C301" s="87"/>
      <c r="D301" s="88"/>
      <c r="E301" s="88"/>
      <c r="F301" s="88"/>
      <c r="G301" s="88"/>
      <c r="H301" s="89"/>
      <c r="J301" s="88"/>
    </row>
    <row r="302">
      <c r="B302" s="87"/>
      <c r="C302" s="87"/>
      <c r="D302" s="88"/>
      <c r="E302" s="88"/>
      <c r="F302" s="88"/>
      <c r="G302" s="88"/>
      <c r="H302" s="89"/>
      <c r="J302" s="88"/>
    </row>
    <row r="303">
      <c r="B303" s="87"/>
      <c r="C303" s="87"/>
      <c r="D303" s="88"/>
      <c r="E303" s="88"/>
      <c r="F303" s="88"/>
      <c r="G303" s="88"/>
      <c r="H303" s="89"/>
      <c r="J303" s="88"/>
    </row>
    <row r="304">
      <c r="B304" s="87"/>
      <c r="C304" s="87"/>
      <c r="D304" s="88"/>
      <c r="E304" s="88"/>
      <c r="F304" s="88"/>
      <c r="G304" s="88"/>
      <c r="H304" s="89"/>
      <c r="J304" s="88"/>
    </row>
    <row r="305">
      <c r="B305" s="87"/>
      <c r="C305" s="87"/>
      <c r="D305" s="88"/>
      <c r="E305" s="88"/>
      <c r="F305" s="88"/>
      <c r="G305" s="88"/>
      <c r="H305" s="89"/>
      <c r="J305" s="88"/>
    </row>
    <row r="306">
      <c r="B306" s="87"/>
      <c r="C306" s="87"/>
      <c r="D306" s="88"/>
      <c r="E306" s="88"/>
      <c r="F306" s="88"/>
      <c r="G306" s="88"/>
      <c r="H306" s="89"/>
      <c r="J306" s="88"/>
    </row>
    <row r="307">
      <c r="B307" s="87"/>
      <c r="C307" s="87"/>
      <c r="D307" s="88"/>
      <c r="E307" s="88"/>
      <c r="F307" s="88"/>
      <c r="G307" s="88"/>
      <c r="H307" s="89"/>
      <c r="J307" s="88"/>
    </row>
    <row r="308">
      <c r="B308" s="87"/>
      <c r="C308" s="87"/>
      <c r="D308" s="88"/>
      <c r="E308" s="88"/>
      <c r="F308" s="88"/>
      <c r="G308" s="88"/>
      <c r="H308" s="89"/>
      <c r="J308" s="88"/>
    </row>
    <row r="309">
      <c r="B309" s="87"/>
      <c r="C309" s="87"/>
      <c r="D309" s="88"/>
      <c r="E309" s="88"/>
      <c r="F309" s="88"/>
      <c r="G309" s="88"/>
      <c r="H309" s="89"/>
      <c r="J309" s="88"/>
    </row>
    <row r="310">
      <c r="B310" s="87"/>
      <c r="C310" s="87"/>
      <c r="D310" s="88"/>
      <c r="E310" s="88"/>
      <c r="F310" s="88"/>
      <c r="G310" s="88"/>
      <c r="H310" s="89"/>
      <c r="J310" s="88"/>
    </row>
    <row r="311">
      <c r="B311" s="87"/>
      <c r="C311" s="87"/>
      <c r="D311" s="88"/>
      <c r="E311" s="88"/>
      <c r="F311" s="88"/>
      <c r="G311" s="88"/>
      <c r="H311" s="89"/>
      <c r="J311" s="88"/>
    </row>
    <row r="312">
      <c r="B312" s="87"/>
      <c r="C312" s="87"/>
      <c r="D312" s="88"/>
      <c r="E312" s="88"/>
      <c r="F312" s="88"/>
      <c r="G312" s="88"/>
      <c r="H312" s="89"/>
      <c r="J312" s="88"/>
    </row>
    <row r="313">
      <c r="B313" s="87"/>
      <c r="C313" s="87"/>
      <c r="D313" s="88"/>
      <c r="E313" s="88"/>
      <c r="F313" s="88"/>
      <c r="G313" s="88"/>
      <c r="H313" s="89"/>
      <c r="J313" s="88"/>
    </row>
    <row r="314">
      <c r="B314" s="87"/>
      <c r="C314" s="87"/>
      <c r="D314" s="88"/>
      <c r="E314" s="88"/>
      <c r="F314" s="88"/>
      <c r="G314" s="88"/>
      <c r="H314" s="89"/>
      <c r="J314" s="88"/>
    </row>
    <row r="315">
      <c r="B315" s="87"/>
      <c r="C315" s="87"/>
      <c r="D315" s="88"/>
      <c r="E315" s="88"/>
      <c r="F315" s="88"/>
      <c r="G315" s="88"/>
      <c r="H315" s="89"/>
      <c r="J315" s="88"/>
    </row>
    <row r="316">
      <c r="B316" s="87"/>
      <c r="C316" s="87"/>
      <c r="D316" s="88"/>
      <c r="E316" s="88"/>
      <c r="F316" s="88"/>
      <c r="G316" s="88"/>
      <c r="H316" s="89"/>
      <c r="J316" s="88"/>
    </row>
    <row r="317">
      <c r="B317" s="87"/>
      <c r="C317" s="87"/>
      <c r="D317" s="88"/>
      <c r="E317" s="88"/>
      <c r="F317" s="88"/>
      <c r="G317" s="88"/>
      <c r="H317" s="89"/>
      <c r="J317" s="88"/>
    </row>
    <row r="318">
      <c r="B318" s="87"/>
      <c r="C318" s="87"/>
      <c r="D318" s="88"/>
      <c r="E318" s="88"/>
      <c r="F318" s="88"/>
      <c r="G318" s="88"/>
      <c r="H318" s="89"/>
      <c r="J318" s="88"/>
    </row>
    <row r="319">
      <c r="B319" s="87"/>
      <c r="C319" s="87"/>
      <c r="D319" s="88"/>
      <c r="E319" s="88"/>
      <c r="F319" s="88"/>
      <c r="G319" s="88"/>
      <c r="H319" s="89"/>
      <c r="J319" s="88"/>
    </row>
    <row r="320">
      <c r="B320" s="87"/>
      <c r="C320" s="87"/>
      <c r="D320" s="88"/>
      <c r="E320" s="88"/>
      <c r="F320" s="88"/>
      <c r="G320" s="88"/>
      <c r="H320" s="89"/>
      <c r="J320" s="88"/>
    </row>
    <row r="321">
      <c r="B321" s="87"/>
      <c r="C321" s="87"/>
      <c r="D321" s="88"/>
      <c r="E321" s="88"/>
      <c r="F321" s="88"/>
      <c r="G321" s="88"/>
      <c r="H321" s="89"/>
      <c r="J321" s="88"/>
    </row>
    <row r="322">
      <c r="B322" s="87"/>
      <c r="C322" s="87"/>
      <c r="D322" s="88"/>
      <c r="E322" s="88"/>
      <c r="F322" s="88"/>
      <c r="G322" s="88"/>
      <c r="H322" s="89"/>
      <c r="J322" s="88"/>
    </row>
    <row r="323">
      <c r="B323" s="87"/>
      <c r="C323" s="87"/>
      <c r="D323" s="88"/>
      <c r="E323" s="88"/>
      <c r="F323" s="88"/>
      <c r="G323" s="88"/>
      <c r="H323" s="89"/>
      <c r="J323" s="88"/>
    </row>
    <row r="324">
      <c r="B324" s="87"/>
      <c r="C324" s="87"/>
      <c r="D324" s="88"/>
      <c r="E324" s="88"/>
      <c r="F324" s="88"/>
      <c r="G324" s="88"/>
      <c r="H324" s="89"/>
      <c r="J324" s="88"/>
    </row>
    <row r="325">
      <c r="B325" s="87"/>
      <c r="C325" s="87"/>
      <c r="D325" s="88"/>
      <c r="E325" s="88"/>
      <c r="F325" s="88"/>
      <c r="G325" s="88"/>
      <c r="H325" s="89"/>
      <c r="J325" s="88"/>
    </row>
    <row r="326">
      <c r="B326" s="87"/>
      <c r="C326" s="87"/>
      <c r="D326" s="88"/>
      <c r="E326" s="88"/>
      <c r="F326" s="88"/>
      <c r="G326" s="88"/>
      <c r="H326" s="89"/>
      <c r="J326" s="88"/>
    </row>
    <row r="327">
      <c r="B327" s="87"/>
      <c r="C327" s="87"/>
      <c r="D327" s="88"/>
      <c r="E327" s="88"/>
      <c r="F327" s="88"/>
      <c r="G327" s="88"/>
      <c r="H327" s="89"/>
      <c r="J327" s="88"/>
    </row>
    <row r="328">
      <c r="B328" s="87"/>
      <c r="C328" s="87"/>
      <c r="D328" s="88"/>
      <c r="E328" s="88"/>
      <c r="F328" s="88"/>
      <c r="G328" s="88"/>
      <c r="H328" s="89"/>
      <c r="J328" s="88"/>
    </row>
    <row r="329">
      <c r="B329" s="87"/>
      <c r="C329" s="87"/>
      <c r="D329" s="88"/>
      <c r="E329" s="88"/>
      <c r="F329" s="88"/>
      <c r="G329" s="88"/>
      <c r="H329" s="89"/>
      <c r="J329" s="88"/>
    </row>
    <row r="330">
      <c r="B330" s="87"/>
      <c r="C330" s="87"/>
      <c r="D330" s="88"/>
      <c r="E330" s="88"/>
      <c r="F330" s="88"/>
      <c r="G330" s="88"/>
      <c r="H330" s="89"/>
      <c r="J330" s="88"/>
    </row>
    <row r="331">
      <c r="B331" s="87"/>
      <c r="C331" s="87"/>
      <c r="D331" s="88"/>
      <c r="E331" s="88"/>
      <c r="F331" s="88"/>
      <c r="G331" s="88"/>
      <c r="H331" s="89"/>
      <c r="J331" s="88"/>
    </row>
    <row r="332">
      <c r="B332" s="87"/>
      <c r="C332" s="87"/>
      <c r="D332" s="88"/>
      <c r="E332" s="88"/>
      <c r="F332" s="88"/>
      <c r="G332" s="88"/>
      <c r="H332" s="89"/>
      <c r="J332" s="88"/>
    </row>
    <row r="333">
      <c r="B333" s="87"/>
      <c r="C333" s="87"/>
      <c r="D333" s="88"/>
      <c r="E333" s="88"/>
      <c r="F333" s="88"/>
      <c r="G333" s="88"/>
      <c r="H333" s="89"/>
      <c r="J333" s="88"/>
    </row>
    <row r="334">
      <c r="B334" s="87"/>
      <c r="C334" s="87"/>
      <c r="D334" s="88"/>
      <c r="E334" s="88"/>
      <c r="F334" s="88"/>
      <c r="G334" s="88"/>
      <c r="H334" s="89"/>
      <c r="J334" s="88"/>
    </row>
    <row r="335">
      <c r="B335" s="87"/>
      <c r="C335" s="87"/>
      <c r="D335" s="88"/>
      <c r="E335" s="88"/>
      <c r="F335" s="88"/>
      <c r="G335" s="88"/>
      <c r="H335" s="89"/>
      <c r="J335" s="88"/>
    </row>
    <row r="336">
      <c r="B336" s="87"/>
      <c r="C336" s="87"/>
      <c r="D336" s="88"/>
      <c r="E336" s="88"/>
      <c r="F336" s="88"/>
      <c r="G336" s="88"/>
      <c r="H336" s="89"/>
      <c r="J336" s="88"/>
    </row>
    <row r="337">
      <c r="B337" s="87"/>
      <c r="C337" s="87"/>
      <c r="D337" s="88"/>
      <c r="E337" s="88"/>
      <c r="F337" s="88"/>
      <c r="G337" s="88"/>
      <c r="H337" s="89"/>
      <c r="J337" s="88"/>
    </row>
    <row r="338">
      <c r="B338" s="87"/>
      <c r="C338" s="87"/>
      <c r="D338" s="88"/>
      <c r="E338" s="88"/>
      <c r="F338" s="88"/>
      <c r="G338" s="88"/>
      <c r="H338" s="89"/>
      <c r="J338" s="88"/>
    </row>
    <row r="339">
      <c r="B339" s="87"/>
      <c r="C339" s="87"/>
      <c r="D339" s="88"/>
      <c r="E339" s="88"/>
      <c r="F339" s="88"/>
      <c r="G339" s="88"/>
      <c r="H339" s="89"/>
      <c r="J339" s="88"/>
    </row>
    <row r="340">
      <c r="B340" s="87"/>
      <c r="C340" s="87"/>
      <c r="D340" s="88"/>
      <c r="E340" s="88"/>
      <c r="F340" s="88"/>
      <c r="G340" s="88"/>
      <c r="H340" s="89"/>
      <c r="J340" s="88"/>
    </row>
    <row r="341">
      <c r="B341" s="87"/>
      <c r="C341" s="87"/>
      <c r="D341" s="88"/>
      <c r="E341" s="88"/>
      <c r="F341" s="88"/>
      <c r="G341" s="88"/>
      <c r="H341" s="89"/>
      <c r="J341" s="88"/>
    </row>
    <row r="342">
      <c r="B342" s="87"/>
      <c r="C342" s="87"/>
      <c r="D342" s="88"/>
      <c r="E342" s="88"/>
      <c r="F342" s="88"/>
      <c r="G342" s="88"/>
      <c r="H342" s="89"/>
      <c r="J342" s="88"/>
    </row>
    <row r="343">
      <c r="B343" s="87"/>
      <c r="C343" s="87"/>
      <c r="D343" s="88"/>
      <c r="E343" s="88"/>
      <c r="F343" s="88"/>
      <c r="G343" s="88"/>
      <c r="H343" s="89"/>
      <c r="J343" s="88"/>
    </row>
    <row r="344">
      <c r="B344" s="87"/>
      <c r="C344" s="87"/>
      <c r="D344" s="88"/>
      <c r="E344" s="88"/>
      <c r="F344" s="88"/>
      <c r="G344" s="88"/>
      <c r="H344" s="89"/>
      <c r="J344" s="88"/>
    </row>
    <row r="345">
      <c r="B345" s="87"/>
      <c r="C345" s="87"/>
      <c r="D345" s="88"/>
      <c r="E345" s="88"/>
      <c r="F345" s="88"/>
      <c r="G345" s="88"/>
      <c r="H345" s="89"/>
      <c r="J345" s="88"/>
    </row>
    <row r="346">
      <c r="B346" s="87"/>
      <c r="C346" s="87"/>
      <c r="D346" s="88"/>
      <c r="E346" s="88"/>
      <c r="F346" s="88"/>
      <c r="G346" s="88"/>
      <c r="H346" s="89"/>
      <c r="J346" s="88"/>
    </row>
    <row r="347">
      <c r="B347" s="87"/>
      <c r="C347" s="87"/>
      <c r="D347" s="88"/>
      <c r="E347" s="88"/>
      <c r="F347" s="88"/>
      <c r="G347" s="88"/>
      <c r="H347" s="89"/>
      <c r="J347" s="88"/>
    </row>
    <row r="348">
      <c r="B348" s="87"/>
      <c r="C348" s="87"/>
      <c r="D348" s="88"/>
      <c r="E348" s="88"/>
      <c r="F348" s="88"/>
      <c r="G348" s="88"/>
      <c r="H348" s="89"/>
      <c r="J348" s="88"/>
    </row>
    <row r="349">
      <c r="B349" s="87"/>
      <c r="C349" s="87"/>
      <c r="D349" s="88"/>
      <c r="E349" s="88"/>
      <c r="F349" s="88"/>
      <c r="G349" s="88"/>
      <c r="H349" s="89"/>
      <c r="J349" s="88"/>
    </row>
    <row r="350">
      <c r="B350" s="87"/>
      <c r="C350" s="87"/>
      <c r="D350" s="88"/>
      <c r="E350" s="88"/>
      <c r="F350" s="88"/>
      <c r="G350" s="88"/>
      <c r="H350" s="89"/>
      <c r="J350" s="88"/>
    </row>
    <row r="351">
      <c r="B351" s="87"/>
      <c r="C351" s="87"/>
      <c r="D351" s="88"/>
      <c r="E351" s="88"/>
      <c r="F351" s="88"/>
      <c r="G351" s="88"/>
      <c r="H351" s="89"/>
      <c r="J351" s="88"/>
    </row>
    <row r="352">
      <c r="B352" s="87"/>
      <c r="C352" s="87"/>
      <c r="D352" s="88"/>
      <c r="E352" s="88"/>
      <c r="F352" s="88"/>
      <c r="G352" s="88"/>
      <c r="H352" s="89"/>
      <c r="J352" s="88"/>
    </row>
    <row r="353">
      <c r="B353" s="87"/>
      <c r="C353" s="87"/>
      <c r="D353" s="88"/>
      <c r="E353" s="88"/>
      <c r="F353" s="88"/>
      <c r="G353" s="88"/>
      <c r="H353" s="89"/>
      <c r="J353" s="88"/>
    </row>
    <row r="354">
      <c r="B354" s="87"/>
      <c r="C354" s="87"/>
      <c r="D354" s="88"/>
      <c r="E354" s="88"/>
      <c r="F354" s="88"/>
      <c r="G354" s="88"/>
      <c r="H354" s="89"/>
      <c r="J354" s="88"/>
    </row>
    <row r="355">
      <c r="B355" s="87"/>
      <c r="C355" s="87"/>
      <c r="D355" s="88"/>
      <c r="E355" s="88"/>
      <c r="F355" s="88"/>
      <c r="G355" s="88"/>
      <c r="H355" s="89"/>
      <c r="J355" s="88"/>
    </row>
    <row r="356">
      <c r="B356" s="87"/>
      <c r="C356" s="87"/>
      <c r="D356" s="88"/>
      <c r="E356" s="88"/>
      <c r="F356" s="88"/>
      <c r="G356" s="88"/>
      <c r="H356" s="89"/>
      <c r="J356" s="88"/>
    </row>
    <row r="357">
      <c r="B357" s="87"/>
      <c r="C357" s="87"/>
      <c r="D357" s="88"/>
      <c r="E357" s="88"/>
      <c r="F357" s="88"/>
      <c r="G357" s="88"/>
      <c r="H357" s="89"/>
      <c r="J357" s="88"/>
    </row>
    <row r="358">
      <c r="B358" s="87"/>
      <c r="C358" s="87"/>
      <c r="D358" s="88"/>
      <c r="E358" s="88"/>
      <c r="F358" s="88"/>
      <c r="G358" s="88"/>
      <c r="H358" s="89"/>
      <c r="J358" s="88"/>
    </row>
    <row r="359">
      <c r="B359" s="87"/>
      <c r="C359" s="87"/>
      <c r="D359" s="88"/>
      <c r="E359" s="88"/>
      <c r="F359" s="88"/>
      <c r="G359" s="88"/>
      <c r="H359" s="89"/>
      <c r="J359" s="88"/>
    </row>
    <row r="360">
      <c r="B360" s="87"/>
      <c r="C360" s="87"/>
      <c r="D360" s="88"/>
      <c r="E360" s="88"/>
      <c r="F360" s="88"/>
      <c r="G360" s="88"/>
      <c r="H360" s="89"/>
      <c r="J360" s="88"/>
    </row>
    <row r="361">
      <c r="B361" s="87"/>
      <c r="C361" s="87"/>
      <c r="D361" s="88"/>
      <c r="E361" s="88"/>
      <c r="F361" s="88"/>
      <c r="G361" s="88"/>
      <c r="H361" s="89"/>
      <c r="J361" s="88"/>
    </row>
    <row r="362">
      <c r="B362" s="87"/>
      <c r="C362" s="87"/>
      <c r="D362" s="88"/>
      <c r="E362" s="88"/>
      <c r="F362" s="88"/>
      <c r="G362" s="88"/>
      <c r="H362" s="89"/>
      <c r="J362" s="88"/>
    </row>
    <row r="363">
      <c r="B363" s="87"/>
      <c r="C363" s="87"/>
      <c r="D363" s="88"/>
      <c r="E363" s="88"/>
      <c r="F363" s="88"/>
      <c r="G363" s="88"/>
      <c r="H363" s="89"/>
      <c r="J363" s="88"/>
    </row>
    <row r="364">
      <c r="B364" s="87"/>
      <c r="C364" s="87"/>
      <c r="D364" s="88"/>
      <c r="E364" s="88"/>
      <c r="F364" s="88"/>
      <c r="G364" s="88"/>
      <c r="H364" s="89"/>
      <c r="J364" s="88"/>
    </row>
    <row r="365">
      <c r="B365" s="87"/>
      <c r="C365" s="87"/>
      <c r="D365" s="88"/>
      <c r="E365" s="88"/>
      <c r="F365" s="88"/>
      <c r="G365" s="88"/>
      <c r="H365" s="89"/>
      <c r="J365" s="88"/>
    </row>
    <row r="366">
      <c r="B366" s="87"/>
      <c r="C366" s="87"/>
      <c r="D366" s="88"/>
      <c r="E366" s="88"/>
      <c r="F366" s="88"/>
      <c r="G366" s="88"/>
      <c r="H366" s="89"/>
      <c r="J366" s="88"/>
    </row>
    <row r="367">
      <c r="B367" s="87"/>
      <c r="C367" s="87"/>
      <c r="D367" s="88"/>
      <c r="E367" s="88"/>
      <c r="F367" s="88"/>
      <c r="G367" s="88"/>
      <c r="H367" s="89"/>
      <c r="J367" s="88"/>
    </row>
    <row r="368">
      <c r="B368" s="87"/>
      <c r="C368" s="87"/>
      <c r="D368" s="88"/>
      <c r="E368" s="88"/>
      <c r="F368" s="88"/>
      <c r="G368" s="88"/>
      <c r="H368" s="89"/>
      <c r="J368" s="88"/>
    </row>
    <row r="369">
      <c r="B369" s="87"/>
      <c r="C369" s="87"/>
      <c r="D369" s="88"/>
      <c r="E369" s="88"/>
      <c r="F369" s="88"/>
      <c r="G369" s="88"/>
      <c r="H369" s="89"/>
      <c r="J369" s="88"/>
    </row>
    <row r="370">
      <c r="B370" s="87"/>
      <c r="C370" s="87"/>
      <c r="D370" s="88"/>
      <c r="E370" s="88"/>
      <c r="F370" s="88"/>
      <c r="G370" s="88"/>
      <c r="H370" s="89"/>
      <c r="J370" s="88"/>
    </row>
    <row r="371">
      <c r="B371" s="87"/>
      <c r="C371" s="87"/>
      <c r="D371" s="88"/>
      <c r="E371" s="88"/>
      <c r="F371" s="88"/>
      <c r="G371" s="88"/>
      <c r="H371" s="89"/>
      <c r="J371" s="88"/>
    </row>
    <row r="372">
      <c r="B372" s="87"/>
      <c r="C372" s="87"/>
      <c r="D372" s="88"/>
      <c r="E372" s="88"/>
      <c r="F372" s="88"/>
      <c r="G372" s="88"/>
      <c r="H372" s="89"/>
      <c r="J372" s="88"/>
    </row>
    <row r="373">
      <c r="B373" s="87"/>
      <c r="C373" s="87"/>
      <c r="D373" s="88"/>
      <c r="E373" s="88"/>
      <c r="F373" s="88"/>
      <c r="G373" s="88"/>
      <c r="H373" s="89"/>
      <c r="J373" s="88"/>
    </row>
    <row r="374">
      <c r="B374" s="87"/>
      <c r="C374" s="87"/>
      <c r="D374" s="88"/>
      <c r="E374" s="88"/>
      <c r="F374" s="88"/>
      <c r="G374" s="88"/>
      <c r="H374" s="89"/>
      <c r="J374" s="88"/>
    </row>
    <row r="375">
      <c r="B375" s="87"/>
      <c r="C375" s="87"/>
      <c r="D375" s="88"/>
      <c r="E375" s="88"/>
      <c r="F375" s="88"/>
      <c r="G375" s="88"/>
      <c r="H375" s="89"/>
      <c r="J375" s="88"/>
    </row>
    <row r="376">
      <c r="B376" s="87"/>
      <c r="C376" s="87"/>
      <c r="D376" s="88"/>
      <c r="E376" s="88"/>
      <c r="F376" s="88"/>
      <c r="G376" s="88"/>
      <c r="H376" s="89"/>
      <c r="J376" s="88"/>
    </row>
    <row r="377">
      <c r="B377" s="87"/>
      <c r="C377" s="87"/>
      <c r="D377" s="88"/>
      <c r="E377" s="88"/>
      <c r="F377" s="88"/>
      <c r="G377" s="88"/>
      <c r="H377" s="89"/>
      <c r="J377" s="88"/>
    </row>
    <row r="378">
      <c r="B378" s="87"/>
      <c r="C378" s="87"/>
      <c r="D378" s="88"/>
      <c r="E378" s="88"/>
      <c r="F378" s="88"/>
      <c r="G378" s="88"/>
      <c r="H378" s="89"/>
      <c r="J378" s="88"/>
    </row>
    <row r="379">
      <c r="B379" s="87"/>
      <c r="C379" s="87"/>
      <c r="D379" s="88"/>
      <c r="E379" s="88"/>
      <c r="F379" s="88"/>
      <c r="G379" s="88"/>
      <c r="H379" s="89"/>
      <c r="J379" s="88"/>
    </row>
    <row r="380">
      <c r="B380" s="87"/>
      <c r="C380" s="87"/>
      <c r="D380" s="88"/>
      <c r="E380" s="88"/>
      <c r="F380" s="88"/>
      <c r="G380" s="88"/>
      <c r="H380" s="89"/>
      <c r="J380" s="88"/>
    </row>
    <row r="381">
      <c r="B381" s="87"/>
      <c r="C381" s="87"/>
      <c r="D381" s="88"/>
      <c r="E381" s="88"/>
      <c r="F381" s="88"/>
      <c r="G381" s="88"/>
      <c r="H381" s="89"/>
      <c r="J381" s="88"/>
    </row>
    <row r="382">
      <c r="B382" s="87"/>
      <c r="C382" s="87"/>
      <c r="D382" s="88"/>
      <c r="E382" s="88"/>
      <c r="F382" s="88"/>
      <c r="G382" s="88"/>
      <c r="H382" s="89"/>
      <c r="J382" s="88"/>
    </row>
    <row r="383">
      <c r="B383" s="87"/>
      <c r="C383" s="87"/>
      <c r="D383" s="88"/>
      <c r="E383" s="88"/>
      <c r="F383" s="88"/>
      <c r="G383" s="88"/>
      <c r="H383" s="89"/>
      <c r="J383" s="88"/>
    </row>
    <row r="384">
      <c r="B384" s="87"/>
      <c r="C384" s="87"/>
      <c r="D384" s="88"/>
      <c r="E384" s="88"/>
      <c r="F384" s="88"/>
      <c r="G384" s="88"/>
      <c r="H384" s="89"/>
      <c r="J384" s="88"/>
    </row>
    <row r="385">
      <c r="B385" s="87"/>
      <c r="C385" s="87"/>
      <c r="D385" s="88"/>
      <c r="E385" s="88"/>
      <c r="F385" s="88"/>
      <c r="G385" s="88"/>
      <c r="H385" s="89"/>
      <c r="J385" s="88"/>
    </row>
    <row r="386">
      <c r="B386" s="87"/>
      <c r="C386" s="87"/>
      <c r="D386" s="88"/>
      <c r="E386" s="88"/>
      <c r="F386" s="88"/>
      <c r="G386" s="88"/>
      <c r="H386" s="89"/>
      <c r="J386" s="88"/>
    </row>
    <row r="387">
      <c r="B387" s="87"/>
      <c r="C387" s="87"/>
      <c r="D387" s="88"/>
      <c r="E387" s="88"/>
      <c r="F387" s="88"/>
      <c r="G387" s="88"/>
      <c r="H387" s="89"/>
      <c r="J387" s="88"/>
    </row>
    <row r="388">
      <c r="B388" s="87"/>
      <c r="C388" s="87"/>
      <c r="D388" s="88"/>
      <c r="E388" s="88"/>
      <c r="F388" s="88"/>
      <c r="G388" s="88"/>
      <c r="H388" s="89"/>
      <c r="J388" s="88"/>
    </row>
    <row r="389">
      <c r="B389" s="87"/>
      <c r="C389" s="87"/>
      <c r="D389" s="88"/>
      <c r="E389" s="88"/>
      <c r="F389" s="88"/>
      <c r="G389" s="88"/>
      <c r="H389" s="89"/>
      <c r="J389" s="88"/>
    </row>
    <row r="390">
      <c r="B390" s="87"/>
      <c r="C390" s="87"/>
      <c r="D390" s="88"/>
      <c r="E390" s="88"/>
      <c r="F390" s="88"/>
      <c r="G390" s="88"/>
      <c r="H390" s="89"/>
      <c r="J390" s="88"/>
    </row>
    <row r="391">
      <c r="B391" s="87"/>
      <c r="C391" s="87"/>
      <c r="D391" s="88"/>
      <c r="E391" s="88"/>
      <c r="F391" s="88"/>
      <c r="G391" s="88"/>
      <c r="H391" s="89"/>
      <c r="J391" s="88"/>
    </row>
    <row r="392">
      <c r="B392" s="87"/>
      <c r="C392" s="87"/>
      <c r="D392" s="88"/>
      <c r="E392" s="88"/>
      <c r="F392" s="88"/>
      <c r="G392" s="88"/>
      <c r="H392" s="89"/>
      <c r="J392" s="88"/>
    </row>
    <row r="393">
      <c r="B393" s="87"/>
      <c r="C393" s="87"/>
      <c r="D393" s="88"/>
      <c r="E393" s="88"/>
      <c r="F393" s="88"/>
      <c r="G393" s="88"/>
      <c r="H393" s="89"/>
      <c r="J393" s="88"/>
    </row>
    <row r="394">
      <c r="B394" s="87"/>
      <c r="C394" s="87"/>
      <c r="D394" s="88"/>
      <c r="E394" s="88"/>
      <c r="F394" s="88"/>
      <c r="G394" s="88"/>
      <c r="H394" s="89"/>
      <c r="J394" s="88"/>
    </row>
    <row r="395">
      <c r="B395" s="87"/>
      <c r="C395" s="87"/>
      <c r="D395" s="88"/>
      <c r="E395" s="88"/>
      <c r="F395" s="88"/>
      <c r="G395" s="88"/>
      <c r="H395" s="89"/>
      <c r="J395" s="88"/>
    </row>
    <row r="396">
      <c r="B396" s="87"/>
      <c r="C396" s="87"/>
      <c r="D396" s="88"/>
      <c r="E396" s="88"/>
      <c r="F396" s="88"/>
      <c r="G396" s="88"/>
      <c r="H396" s="89"/>
      <c r="J396" s="88"/>
    </row>
    <row r="397">
      <c r="B397" s="87"/>
      <c r="C397" s="87"/>
      <c r="D397" s="88"/>
      <c r="E397" s="88"/>
      <c r="F397" s="88"/>
      <c r="G397" s="88"/>
      <c r="H397" s="89"/>
      <c r="J397" s="88"/>
    </row>
    <row r="398">
      <c r="B398" s="87"/>
      <c r="C398" s="87"/>
      <c r="D398" s="88"/>
      <c r="E398" s="88"/>
      <c r="F398" s="88"/>
      <c r="G398" s="88"/>
      <c r="H398" s="89"/>
      <c r="J398" s="88"/>
    </row>
    <row r="399">
      <c r="B399" s="87"/>
      <c r="C399" s="87"/>
      <c r="D399" s="88"/>
      <c r="E399" s="88"/>
      <c r="F399" s="88"/>
      <c r="G399" s="88"/>
      <c r="H399" s="89"/>
      <c r="J399" s="88"/>
    </row>
    <row r="400">
      <c r="B400" s="87"/>
      <c r="C400" s="87"/>
      <c r="D400" s="88"/>
      <c r="E400" s="88"/>
      <c r="F400" s="88"/>
      <c r="G400" s="88"/>
      <c r="H400" s="89"/>
      <c r="J400" s="88"/>
    </row>
    <row r="401">
      <c r="B401" s="87"/>
      <c r="C401" s="87"/>
      <c r="D401" s="88"/>
      <c r="E401" s="88"/>
      <c r="F401" s="88"/>
      <c r="G401" s="88"/>
      <c r="H401" s="89"/>
      <c r="J401" s="88"/>
    </row>
    <row r="402">
      <c r="B402" s="87"/>
      <c r="C402" s="87"/>
      <c r="D402" s="88"/>
      <c r="E402" s="88"/>
      <c r="F402" s="88"/>
      <c r="G402" s="88"/>
      <c r="H402" s="89"/>
      <c r="J402" s="88"/>
    </row>
    <row r="403">
      <c r="B403" s="87"/>
      <c r="C403" s="87"/>
      <c r="D403" s="88"/>
      <c r="E403" s="88"/>
      <c r="F403" s="88"/>
      <c r="G403" s="88"/>
      <c r="H403" s="89"/>
      <c r="J403" s="88"/>
    </row>
    <row r="404">
      <c r="B404" s="87"/>
      <c r="C404" s="87"/>
      <c r="D404" s="88"/>
      <c r="E404" s="88"/>
      <c r="F404" s="88"/>
      <c r="G404" s="88"/>
      <c r="H404" s="89"/>
      <c r="J404" s="88"/>
    </row>
    <row r="405">
      <c r="B405" s="87"/>
      <c r="C405" s="87"/>
      <c r="D405" s="88"/>
      <c r="E405" s="88"/>
      <c r="F405" s="88"/>
      <c r="G405" s="88"/>
      <c r="H405" s="89"/>
      <c r="J405" s="88"/>
    </row>
    <row r="406">
      <c r="B406" s="87"/>
      <c r="C406" s="87"/>
      <c r="D406" s="88"/>
      <c r="E406" s="88"/>
      <c r="F406" s="88"/>
      <c r="G406" s="88"/>
      <c r="H406" s="89"/>
      <c r="J406" s="88"/>
    </row>
    <row r="407">
      <c r="B407" s="87"/>
      <c r="C407" s="87"/>
      <c r="D407" s="88"/>
      <c r="E407" s="88"/>
      <c r="F407" s="88"/>
      <c r="G407" s="88"/>
      <c r="H407" s="89"/>
      <c r="J407" s="88"/>
    </row>
    <row r="408">
      <c r="B408" s="87"/>
      <c r="C408" s="87"/>
      <c r="D408" s="88"/>
      <c r="E408" s="88"/>
      <c r="F408" s="88"/>
      <c r="G408" s="88"/>
      <c r="H408" s="89"/>
      <c r="J408" s="88"/>
    </row>
    <row r="409">
      <c r="B409" s="87"/>
      <c r="C409" s="87"/>
      <c r="D409" s="88"/>
      <c r="E409" s="88"/>
      <c r="F409" s="88"/>
      <c r="G409" s="88"/>
      <c r="H409" s="89"/>
      <c r="J409" s="88"/>
    </row>
    <row r="410">
      <c r="B410" s="87"/>
      <c r="C410" s="87"/>
      <c r="D410" s="88"/>
      <c r="E410" s="88"/>
      <c r="F410" s="88"/>
      <c r="G410" s="88"/>
      <c r="H410" s="89"/>
      <c r="J410" s="88"/>
    </row>
    <row r="411">
      <c r="B411" s="87"/>
      <c r="C411" s="87"/>
      <c r="D411" s="88"/>
      <c r="E411" s="88"/>
      <c r="F411" s="88"/>
      <c r="G411" s="88"/>
      <c r="H411" s="89"/>
      <c r="J411" s="88"/>
    </row>
    <row r="412">
      <c r="B412" s="87"/>
      <c r="C412" s="87"/>
      <c r="D412" s="88"/>
      <c r="E412" s="88"/>
      <c r="F412" s="88"/>
      <c r="G412" s="88"/>
      <c r="H412" s="89"/>
      <c r="J412" s="88"/>
    </row>
    <row r="413">
      <c r="B413" s="87"/>
      <c r="C413" s="87"/>
      <c r="D413" s="88"/>
      <c r="E413" s="88"/>
      <c r="F413" s="88"/>
      <c r="G413" s="88"/>
      <c r="H413" s="89"/>
      <c r="J413" s="88"/>
    </row>
    <row r="414">
      <c r="B414" s="87"/>
      <c r="C414" s="87"/>
      <c r="D414" s="88"/>
      <c r="E414" s="88"/>
      <c r="F414" s="88"/>
      <c r="G414" s="88"/>
      <c r="H414" s="89"/>
      <c r="J414" s="88"/>
    </row>
    <row r="415">
      <c r="B415" s="87"/>
      <c r="C415" s="87"/>
      <c r="D415" s="88"/>
      <c r="E415" s="88"/>
      <c r="F415" s="88"/>
      <c r="G415" s="88"/>
      <c r="H415" s="89"/>
      <c r="J415" s="88"/>
    </row>
    <row r="416">
      <c r="B416" s="87"/>
      <c r="C416" s="87"/>
      <c r="D416" s="88"/>
      <c r="E416" s="88"/>
      <c r="F416" s="88"/>
      <c r="G416" s="88"/>
      <c r="H416" s="89"/>
      <c r="J416" s="88"/>
    </row>
    <row r="417">
      <c r="B417" s="87"/>
      <c r="C417" s="87"/>
      <c r="D417" s="88"/>
      <c r="E417" s="88"/>
      <c r="F417" s="88"/>
      <c r="G417" s="88"/>
      <c r="H417" s="89"/>
      <c r="J417" s="88"/>
    </row>
    <row r="418">
      <c r="B418" s="87"/>
      <c r="C418" s="87"/>
      <c r="D418" s="88"/>
      <c r="E418" s="88"/>
      <c r="F418" s="88"/>
      <c r="G418" s="88"/>
      <c r="H418" s="89"/>
      <c r="J418" s="88"/>
    </row>
    <row r="419">
      <c r="B419" s="87"/>
      <c r="C419" s="87"/>
      <c r="D419" s="88"/>
      <c r="E419" s="88"/>
      <c r="F419" s="88"/>
      <c r="G419" s="88"/>
      <c r="H419" s="89"/>
      <c r="J419" s="88"/>
    </row>
    <row r="420">
      <c r="B420" s="87"/>
      <c r="C420" s="87"/>
      <c r="D420" s="88"/>
      <c r="E420" s="88"/>
      <c r="F420" s="88"/>
      <c r="G420" s="88"/>
      <c r="H420" s="89"/>
      <c r="J420" s="88"/>
    </row>
    <row r="421">
      <c r="B421" s="87"/>
      <c r="C421" s="87"/>
      <c r="D421" s="88"/>
      <c r="E421" s="88"/>
      <c r="F421" s="88"/>
      <c r="G421" s="88"/>
      <c r="H421" s="89"/>
      <c r="J421" s="88"/>
    </row>
    <row r="422">
      <c r="B422" s="87"/>
      <c r="C422" s="87"/>
      <c r="D422" s="88"/>
      <c r="E422" s="88"/>
      <c r="F422" s="88"/>
      <c r="G422" s="88"/>
      <c r="H422" s="89"/>
      <c r="J422" s="88"/>
    </row>
    <row r="423">
      <c r="B423" s="87"/>
      <c r="C423" s="87"/>
      <c r="D423" s="88"/>
      <c r="E423" s="88"/>
      <c r="F423" s="88"/>
      <c r="G423" s="88"/>
      <c r="H423" s="89"/>
      <c r="J423" s="88"/>
    </row>
    <row r="424">
      <c r="B424" s="87"/>
      <c r="C424" s="87"/>
      <c r="D424" s="88"/>
      <c r="E424" s="88"/>
      <c r="F424" s="88"/>
      <c r="G424" s="88"/>
      <c r="H424" s="89"/>
      <c r="J424" s="88"/>
    </row>
    <row r="425">
      <c r="B425" s="87"/>
      <c r="C425" s="87"/>
      <c r="D425" s="88"/>
      <c r="E425" s="88"/>
      <c r="F425" s="88"/>
      <c r="G425" s="88"/>
      <c r="H425" s="89"/>
      <c r="J425" s="88"/>
    </row>
    <row r="426">
      <c r="B426" s="87"/>
      <c r="C426" s="87"/>
      <c r="D426" s="88"/>
      <c r="E426" s="88"/>
      <c r="F426" s="88"/>
      <c r="G426" s="88"/>
      <c r="H426" s="89"/>
      <c r="J426" s="88"/>
    </row>
    <row r="427">
      <c r="B427" s="87"/>
      <c r="C427" s="87"/>
      <c r="D427" s="88"/>
      <c r="E427" s="88"/>
      <c r="F427" s="88"/>
      <c r="G427" s="88"/>
      <c r="H427" s="89"/>
      <c r="J427" s="88"/>
    </row>
    <row r="428">
      <c r="B428" s="87"/>
      <c r="C428" s="87"/>
      <c r="D428" s="88"/>
      <c r="E428" s="88"/>
      <c r="F428" s="88"/>
      <c r="G428" s="88"/>
      <c r="H428" s="89"/>
      <c r="J428" s="88"/>
    </row>
    <row r="429">
      <c r="B429" s="87"/>
      <c r="C429" s="87"/>
      <c r="D429" s="88"/>
      <c r="E429" s="88"/>
      <c r="F429" s="88"/>
      <c r="G429" s="88"/>
      <c r="H429" s="89"/>
      <c r="J429" s="88"/>
    </row>
    <row r="430">
      <c r="B430" s="87"/>
      <c r="C430" s="87"/>
      <c r="D430" s="88"/>
      <c r="E430" s="88"/>
      <c r="F430" s="88"/>
      <c r="G430" s="88"/>
      <c r="H430" s="89"/>
      <c r="J430" s="88"/>
    </row>
    <row r="431">
      <c r="B431" s="87"/>
      <c r="C431" s="87"/>
      <c r="D431" s="88"/>
      <c r="E431" s="88"/>
      <c r="F431" s="88"/>
      <c r="G431" s="88"/>
      <c r="H431" s="89"/>
      <c r="J431" s="88"/>
    </row>
    <row r="432">
      <c r="B432" s="87"/>
      <c r="C432" s="87"/>
      <c r="D432" s="88"/>
      <c r="E432" s="88"/>
      <c r="F432" s="88"/>
      <c r="G432" s="88"/>
      <c r="H432" s="89"/>
      <c r="J432" s="88"/>
    </row>
    <row r="433">
      <c r="B433" s="87"/>
      <c r="C433" s="87"/>
      <c r="D433" s="88"/>
      <c r="E433" s="88"/>
      <c r="F433" s="88"/>
      <c r="G433" s="88"/>
      <c r="H433" s="89"/>
      <c r="J433" s="88"/>
    </row>
    <row r="434">
      <c r="B434" s="87"/>
      <c r="C434" s="87"/>
      <c r="D434" s="88"/>
      <c r="E434" s="88"/>
      <c r="F434" s="88"/>
      <c r="G434" s="88"/>
      <c r="H434" s="89"/>
      <c r="J434" s="88"/>
    </row>
    <row r="435">
      <c r="B435" s="87"/>
      <c r="C435" s="87"/>
      <c r="D435" s="88"/>
      <c r="E435" s="88"/>
      <c r="F435" s="88"/>
      <c r="G435" s="88"/>
      <c r="H435" s="89"/>
      <c r="J435" s="88"/>
    </row>
    <row r="436">
      <c r="B436" s="87"/>
      <c r="C436" s="87"/>
      <c r="D436" s="88"/>
      <c r="E436" s="88"/>
      <c r="F436" s="88"/>
      <c r="G436" s="88"/>
      <c r="H436" s="89"/>
      <c r="J436" s="88"/>
    </row>
    <row r="437">
      <c r="B437" s="87"/>
      <c r="C437" s="87"/>
      <c r="D437" s="88"/>
      <c r="E437" s="88"/>
      <c r="F437" s="88"/>
      <c r="G437" s="88"/>
      <c r="H437" s="89"/>
      <c r="J437" s="88"/>
    </row>
    <row r="438">
      <c r="B438" s="87"/>
      <c r="C438" s="87"/>
      <c r="D438" s="88"/>
      <c r="E438" s="88"/>
      <c r="F438" s="88"/>
      <c r="G438" s="88"/>
      <c r="H438" s="89"/>
      <c r="J438" s="88"/>
    </row>
    <row r="439">
      <c r="B439" s="87"/>
      <c r="C439" s="87"/>
      <c r="D439" s="88"/>
      <c r="E439" s="88"/>
      <c r="F439" s="88"/>
      <c r="G439" s="88"/>
      <c r="H439" s="89"/>
      <c r="J439" s="88"/>
    </row>
    <row r="440">
      <c r="B440" s="87"/>
      <c r="C440" s="87"/>
      <c r="D440" s="88"/>
      <c r="E440" s="88"/>
      <c r="F440" s="88"/>
      <c r="G440" s="88"/>
      <c r="H440" s="89"/>
      <c r="J440" s="88"/>
    </row>
    <row r="441">
      <c r="B441" s="87"/>
      <c r="C441" s="87"/>
      <c r="D441" s="88"/>
      <c r="E441" s="88"/>
      <c r="F441" s="88"/>
      <c r="G441" s="88"/>
      <c r="H441" s="89"/>
      <c r="J441" s="88"/>
    </row>
    <row r="442">
      <c r="B442" s="87"/>
      <c r="C442" s="87"/>
      <c r="D442" s="88"/>
      <c r="E442" s="88"/>
      <c r="F442" s="88"/>
      <c r="G442" s="88"/>
      <c r="H442" s="89"/>
      <c r="J442" s="88"/>
    </row>
    <row r="443">
      <c r="B443" s="87"/>
      <c r="C443" s="87"/>
      <c r="D443" s="88"/>
      <c r="E443" s="88"/>
      <c r="F443" s="88"/>
      <c r="G443" s="88"/>
      <c r="H443" s="89"/>
      <c r="J443" s="88"/>
    </row>
    <row r="444">
      <c r="B444" s="87"/>
      <c r="C444" s="87"/>
      <c r="D444" s="88"/>
      <c r="E444" s="88"/>
      <c r="F444" s="88"/>
      <c r="G444" s="88"/>
      <c r="H444" s="89"/>
      <c r="J444" s="88"/>
    </row>
    <row r="445">
      <c r="B445" s="87"/>
      <c r="C445" s="87"/>
      <c r="D445" s="88"/>
      <c r="E445" s="88"/>
      <c r="F445" s="88"/>
      <c r="G445" s="88"/>
      <c r="H445" s="89"/>
      <c r="J445" s="88"/>
    </row>
    <row r="446">
      <c r="B446" s="87"/>
      <c r="C446" s="87"/>
      <c r="D446" s="88"/>
      <c r="E446" s="88"/>
      <c r="F446" s="88"/>
      <c r="G446" s="88"/>
      <c r="H446" s="89"/>
      <c r="J446" s="88"/>
    </row>
    <row r="447">
      <c r="B447" s="87"/>
      <c r="C447" s="87"/>
      <c r="D447" s="88"/>
      <c r="E447" s="88"/>
      <c r="F447" s="88"/>
      <c r="G447" s="88"/>
      <c r="H447" s="89"/>
      <c r="J447" s="88"/>
    </row>
    <row r="448">
      <c r="B448" s="87"/>
      <c r="C448" s="87"/>
      <c r="D448" s="88"/>
      <c r="E448" s="88"/>
      <c r="F448" s="88"/>
      <c r="G448" s="88"/>
      <c r="H448" s="89"/>
      <c r="J448" s="88"/>
    </row>
    <row r="449">
      <c r="B449" s="87"/>
      <c r="C449" s="87"/>
      <c r="D449" s="88"/>
      <c r="E449" s="88"/>
      <c r="F449" s="88"/>
      <c r="G449" s="88"/>
      <c r="H449" s="89"/>
      <c r="J449" s="88"/>
    </row>
    <row r="450">
      <c r="B450" s="87"/>
      <c r="C450" s="87"/>
      <c r="D450" s="88"/>
      <c r="E450" s="88"/>
      <c r="F450" s="88"/>
      <c r="G450" s="88"/>
      <c r="H450" s="89"/>
      <c r="J450" s="88"/>
    </row>
    <row r="451">
      <c r="B451" s="87"/>
      <c r="C451" s="87"/>
      <c r="D451" s="88"/>
      <c r="E451" s="88"/>
      <c r="F451" s="88"/>
      <c r="G451" s="88"/>
      <c r="H451" s="89"/>
      <c r="J451" s="88"/>
    </row>
    <row r="452">
      <c r="B452" s="87"/>
      <c r="C452" s="87"/>
      <c r="D452" s="88"/>
      <c r="E452" s="88"/>
      <c r="F452" s="88"/>
      <c r="G452" s="88"/>
      <c r="H452" s="89"/>
      <c r="J452" s="88"/>
    </row>
    <row r="453">
      <c r="B453" s="87"/>
      <c r="C453" s="87"/>
      <c r="D453" s="88"/>
      <c r="E453" s="88"/>
      <c r="F453" s="88"/>
      <c r="G453" s="88"/>
      <c r="H453" s="89"/>
      <c r="J453" s="88"/>
    </row>
    <row r="454">
      <c r="B454" s="87"/>
      <c r="C454" s="87"/>
      <c r="D454" s="88"/>
      <c r="E454" s="88"/>
      <c r="F454" s="88"/>
      <c r="G454" s="88"/>
      <c r="H454" s="89"/>
      <c r="J454" s="88"/>
    </row>
    <row r="455">
      <c r="B455" s="87"/>
      <c r="C455" s="87"/>
      <c r="D455" s="88"/>
      <c r="E455" s="88"/>
      <c r="F455" s="88"/>
      <c r="G455" s="88"/>
      <c r="H455" s="89"/>
      <c r="J455" s="88"/>
    </row>
    <row r="456">
      <c r="B456" s="87"/>
      <c r="C456" s="87"/>
      <c r="D456" s="88"/>
      <c r="E456" s="88"/>
      <c r="F456" s="88"/>
      <c r="G456" s="88"/>
      <c r="H456" s="89"/>
      <c r="J456" s="88"/>
    </row>
    <row r="457">
      <c r="B457" s="87"/>
      <c r="C457" s="87"/>
      <c r="D457" s="88"/>
      <c r="E457" s="88"/>
      <c r="F457" s="88"/>
      <c r="G457" s="88"/>
      <c r="H457" s="89"/>
      <c r="J457" s="88"/>
    </row>
    <row r="458">
      <c r="B458" s="87"/>
      <c r="C458" s="87"/>
      <c r="D458" s="88"/>
      <c r="E458" s="88"/>
      <c r="F458" s="88"/>
      <c r="G458" s="88"/>
      <c r="H458" s="89"/>
      <c r="J458" s="88"/>
    </row>
    <row r="459">
      <c r="B459" s="87"/>
      <c r="C459" s="87"/>
      <c r="D459" s="88"/>
      <c r="E459" s="88"/>
      <c r="F459" s="88"/>
      <c r="G459" s="88"/>
      <c r="H459" s="89"/>
      <c r="J459" s="88"/>
    </row>
    <row r="460">
      <c r="B460" s="87"/>
      <c r="C460" s="87"/>
      <c r="D460" s="88"/>
      <c r="E460" s="88"/>
      <c r="F460" s="88"/>
      <c r="G460" s="88"/>
      <c r="H460" s="89"/>
      <c r="J460" s="88"/>
    </row>
    <row r="461">
      <c r="B461" s="87"/>
      <c r="C461" s="87"/>
      <c r="D461" s="88"/>
      <c r="E461" s="88"/>
      <c r="F461" s="88"/>
      <c r="G461" s="88"/>
      <c r="H461" s="89"/>
      <c r="J461" s="88"/>
    </row>
    <row r="462">
      <c r="B462" s="87"/>
      <c r="C462" s="87"/>
      <c r="D462" s="88"/>
      <c r="E462" s="88"/>
      <c r="F462" s="88"/>
      <c r="G462" s="88"/>
      <c r="H462" s="89"/>
      <c r="J462" s="88"/>
    </row>
    <row r="463">
      <c r="B463" s="87"/>
      <c r="C463" s="87"/>
      <c r="D463" s="88"/>
      <c r="E463" s="88"/>
      <c r="F463" s="88"/>
      <c r="G463" s="88"/>
      <c r="H463" s="89"/>
      <c r="J463" s="88"/>
    </row>
    <row r="464">
      <c r="B464" s="87"/>
      <c r="C464" s="87"/>
      <c r="D464" s="88"/>
      <c r="E464" s="88"/>
      <c r="F464" s="88"/>
      <c r="G464" s="88"/>
      <c r="H464" s="89"/>
      <c r="J464" s="88"/>
    </row>
    <row r="465">
      <c r="B465" s="87"/>
      <c r="C465" s="87"/>
      <c r="D465" s="88"/>
      <c r="E465" s="88"/>
      <c r="F465" s="88"/>
      <c r="G465" s="88"/>
      <c r="H465" s="89"/>
      <c r="J465" s="88"/>
    </row>
    <row r="466">
      <c r="B466" s="87"/>
      <c r="C466" s="87"/>
      <c r="D466" s="88"/>
      <c r="E466" s="88"/>
      <c r="F466" s="88"/>
      <c r="G466" s="88"/>
      <c r="H466" s="89"/>
      <c r="J466" s="88"/>
    </row>
    <row r="467">
      <c r="B467" s="87"/>
      <c r="C467" s="87"/>
      <c r="D467" s="88"/>
      <c r="E467" s="88"/>
      <c r="F467" s="88"/>
      <c r="G467" s="88"/>
      <c r="H467" s="89"/>
      <c r="J467" s="88"/>
    </row>
    <row r="468">
      <c r="B468" s="87"/>
      <c r="C468" s="87"/>
      <c r="D468" s="88"/>
      <c r="E468" s="88"/>
      <c r="F468" s="88"/>
      <c r="G468" s="88"/>
      <c r="H468" s="89"/>
      <c r="J468" s="88"/>
    </row>
    <row r="469">
      <c r="B469" s="87"/>
      <c r="C469" s="87"/>
      <c r="D469" s="88"/>
      <c r="E469" s="88"/>
      <c r="F469" s="88"/>
      <c r="G469" s="88"/>
      <c r="H469" s="89"/>
      <c r="J469" s="88"/>
    </row>
    <row r="470">
      <c r="B470" s="87"/>
      <c r="C470" s="87"/>
      <c r="D470" s="88"/>
      <c r="E470" s="88"/>
      <c r="F470" s="88"/>
      <c r="G470" s="88"/>
      <c r="H470" s="89"/>
      <c r="J470" s="88"/>
    </row>
    <row r="471">
      <c r="B471" s="87"/>
      <c r="C471" s="87"/>
      <c r="D471" s="88"/>
      <c r="E471" s="88"/>
      <c r="F471" s="88"/>
      <c r="G471" s="88"/>
      <c r="H471" s="89"/>
      <c r="J471" s="88"/>
    </row>
    <row r="472">
      <c r="B472" s="87"/>
      <c r="C472" s="87"/>
      <c r="D472" s="88"/>
      <c r="E472" s="88"/>
      <c r="F472" s="88"/>
      <c r="G472" s="88"/>
      <c r="H472" s="89"/>
      <c r="J472" s="88"/>
    </row>
    <row r="473">
      <c r="B473" s="87"/>
      <c r="C473" s="87"/>
      <c r="D473" s="88"/>
      <c r="E473" s="88"/>
      <c r="F473" s="88"/>
      <c r="G473" s="88"/>
      <c r="H473" s="89"/>
      <c r="J473" s="88"/>
    </row>
    <row r="474">
      <c r="B474" s="87"/>
      <c r="C474" s="87"/>
      <c r="D474" s="88"/>
      <c r="E474" s="88"/>
      <c r="F474" s="88"/>
      <c r="G474" s="88"/>
      <c r="H474" s="89"/>
      <c r="J474" s="88"/>
    </row>
    <row r="475">
      <c r="B475" s="87"/>
      <c r="C475" s="87"/>
      <c r="D475" s="88"/>
      <c r="E475" s="88"/>
      <c r="F475" s="88"/>
      <c r="G475" s="88"/>
      <c r="H475" s="89"/>
      <c r="J475" s="88"/>
    </row>
    <row r="476">
      <c r="B476" s="87"/>
      <c r="C476" s="87"/>
      <c r="D476" s="88"/>
      <c r="E476" s="88"/>
      <c r="F476" s="88"/>
      <c r="G476" s="88"/>
      <c r="H476" s="89"/>
      <c r="J476" s="88"/>
    </row>
    <row r="477">
      <c r="B477" s="87"/>
      <c r="C477" s="87"/>
      <c r="D477" s="88"/>
      <c r="E477" s="88"/>
      <c r="F477" s="88"/>
      <c r="G477" s="88"/>
      <c r="H477" s="89"/>
      <c r="J477" s="88"/>
    </row>
    <row r="478">
      <c r="B478" s="87"/>
      <c r="C478" s="87"/>
      <c r="D478" s="88"/>
      <c r="E478" s="88"/>
      <c r="F478" s="88"/>
      <c r="G478" s="88"/>
      <c r="H478" s="89"/>
      <c r="J478" s="88"/>
    </row>
    <row r="479">
      <c r="B479" s="87"/>
      <c r="C479" s="87"/>
      <c r="D479" s="88"/>
      <c r="E479" s="88"/>
      <c r="F479" s="88"/>
      <c r="G479" s="88"/>
      <c r="H479" s="89"/>
      <c r="J479" s="88"/>
    </row>
    <row r="480">
      <c r="B480" s="87"/>
      <c r="C480" s="87"/>
      <c r="D480" s="88"/>
      <c r="E480" s="88"/>
      <c r="F480" s="88"/>
      <c r="G480" s="88"/>
      <c r="H480" s="89"/>
      <c r="J480" s="88"/>
    </row>
    <row r="481">
      <c r="B481" s="87"/>
      <c r="C481" s="87"/>
      <c r="D481" s="88"/>
      <c r="E481" s="88"/>
      <c r="F481" s="88"/>
      <c r="G481" s="88"/>
      <c r="H481" s="89"/>
      <c r="J481" s="88"/>
    </row>
    <row r="482">
      <c r="B482" s="87"/>
      <c r="C482" s="87"/>
      <c r="D482" s="88"/>
      <c r="E482" s="88"/>
      <c r="F482" s="88"/>
      <c r="G482" s="88"/>
      <c r="H482" s="89"/>
      <c r="J482" s="88"/>
    </row>
    <row r="483">
      <c r="B483" s="87"/>
      <c r="C483" s="87"/>
      <c r="D483" s="88"/>
      <c r="E483" s="88"/>
      <c r="F483" s="88"/>
      <c r="G483" s="88"/>
      <c r="H483" s="89"/>
      <c r="J483" s="88"/>
    </row>
    <row r="484">
      <c r="B484" s="87"/>
      <c r="C484" s="87"/>
      <c r="D484" s="88"/>
      <c r="E484" s="88"/>
      <c r="F484" s="88"/>
      <c r="G484" s="88"/>
      <c r="H484" s="89"/>
      <c r="J484" s="88"/>
    </row>
    <row r="485">
      <c r="B485" s="87"/>
      <c r="C485" s="87"/>
      <c r="D485" s="88"/>
      <c r="E485" s="88"/>
      <c r="F485" s="88"/>
      <c r="G485" s="88"/>
      <c r="H485" s="89"/>
      <c r="J485" s="88"/>
    </row>
    <row r="486">
      <c r="B486" s="87"/>
      <c r="C486" s="87"/>
      <c r="D486" s="88"/>
      <c r="E486" s="88"/>
      <c r="F486" s="88"/>
      <c r="G486" s="88"/>
      <c r="H486" s="89"/>
      <c r="J486" s="88"/>
    </row>
    <row r="487">
      <c r="B487" s="87"/>
      <c r="C487" s="87"/>
      <c r="D487" s="88"/>
      <c r="E487" s="88"/>
      <c r="F487" s="88"/>
      <c r="G487" s="88"/>
      <c r="H487" s="89"/>
      <c r="J487" s="88"/>
    </row>
    <row r="488">
      <c r="B488" s="87"/>
      <c r="C488" s="87"/>
      <c r="D488" s="88"/>
      <c r="E488" s="88"/>
      <c r="F488" s="88"/>
      <c r="G488" s="88"/>
      <c r="H488" s="89"/>
      <c r="J488" s="88"/>
    </row>
    <row r="489">
      <c r="B489" s="87"/>
      <c r="C489" s="87"/>
      <c r="D489" s="88"/>
      <c r="E489" s="88"/>
      <c r="F489" s="88"/>
      <c r="G489" s="88"/>
      <c r="H489" s="89"/>
      <c r="J489" s="88"/>
    </row>
    <row r="490">
      <c r="B490" s="87"/>
      <c r="C490" s="87"/>
      <c r="D490" s="88"/>
      <c r="E490" s="88"/>
      <c r="F490" s="88"/>
      <c r="G490" s="88"/>
      <c r="H490" s="89"/>
      <c r="J490" s="88"/>
    </row>
    <row r="491">
      <c r="B491" s="87"/>
      <c r="C491" s="87"/>
      <c r="D491" s="88"/>
      <c r="E491" s="88"/>
      <c r="F491" s="88"/>
      <c r="G491" s="88"/>
      <c r="H491" s="89"/>
      <c r="J491" s="88"/>
    </row>
    <row r="492">
      <c r="B492" s="87"/>
      <c r="C492" s="87"/>
      <c r="D492" s="88"/>
      <c r="E492" s="88"/>
      <c r="F492" s="88"/>
      <c r="G492" s="88"/>
      <c r="H492" s="89"/>
      <c r="J492" s="88"/>
    </row>
    <row r="493">
      <c r="B493" s="87"/>
      <c r="C493" s="87"/>
      <c r="D493" s="88"/>
      <c r="E493" s="88"/>
      <c r="F493" s="88"/>
      <c r="G493" s="88"/>
      <c r="H493" s="89"/>
      <c r="J493" s="88"/>
    </row>
    <row r="494">
      <c r="B494" s="87"/>
      <c r="C494" s="87"/>
      <c r="D494" s="88"/>
      <c r="E494" s="88"/>
      <c r="F494" s="88"/>
      <c r="G494" s="88"/>
      <c r="H494" s="89"/>
      <c r="J494" s="88"/>
    </row>
    <row r="495">
      <c r="B495" s="87"/>
      <c r="C495" s="87"/>
      <c r="D495" s="88"/>
      <c r="E495" s="88"/>
      <c r="F495" s="88"/>
      <c r="G495" s="88"/>
      <c r="H495" s="89"/>
      <c r="J495" s="88"/>
    </row>
    <row r="496">
      <c r="B496" s="87"/>
      <c r="C496" s="87"/>
      <c r="D496" s="88"/>
      <c r="E496" s="88"/>
      <c r="F496" s="88"/>
      <c r="G496" s="88"/>
      <c r="H496" s="89"/>
      <c r="J496" s="88"/>
    </row>
    <row r="497">
      <c r="B497" s="87"/>
      <c r="C497" s="87"/>
      <c r="D497" s="88"/>
      <c r="E497" s="88"/>
      <c r="F497" s="88"/>
      <c r="G497" s="88"/>
      <c r="H497" s="89"/>
      <c r="J497" s="88"/>
    </row>
    <row r="498">
      <c r="B498" s="87"/>
      <c r="C498" s="87"/>
      <c r="D498" s="88"/>
      <c r="E498" s="88"/>
      <c r="F498" s="88"/>
      <c r="G498" s="88"/>
      <c r="H498" s="89"/>
      <c r="J498" s="88"/>
    </row>
    <row r="499">
      <c r="B499" s="87"/>
      <c r="C499" s="87"/>
      <c r="D499" s="88"/>
      <c r="E499" s="88"/>
      <c r="F499" s="88"/>
      <c r="G499" s="88"/>
      <c r="H499" s="89"/>
      <c r="J499" s="88"/>
    </row>
    <row r="500">
      <c r="B500" s="87"/>
      <c r="C500" s="87"/>
      <c r="D500" s="88"/>
      <c r="E500" s="88"/>
      <c r="F500" s="88"/>
      <c r="G500" s="88"/>
      <c r="H500" s="89"/>
      <c r="J500" s="88"/>
    </row>
    <row r="501">
      <c r="B501" s="87"/>
      <c r="C501" s="87"/>
      <c r="D501" s="88"/>
      <c r="E501" s="88"/>
      <c r="F501" s="88"/>
      <c r="G501" s="88"/>
      <c r="H501" s="89"/>
      <c r="J501" s="88"/>
    </row>
    <row r="502">
      <c r="B502" s="87"/>
      <c r="C502" s="87"/>
      <c r="D502" s="88"/>
      <c r="E502" s="88"/>
      <c r="F502" s="88"/>
      <c r="G502" s="88"/>
      <c r="H502" s="89"/>
      <c r="J502" s="88"/>
    </row>
    <row r="503">
      <c r="B503" s="87"/>
      <c r="C503" s="87"/>
      <c r="D503" s="88"/>
      <c r="E503" s="88"/>
      <c r="F503" s="88"/>
      <c r="G503" s="88"/>
      <c r="H503" s="89"/>
      <c r="J503" s="88"/>
    </row>
    <row r="504">
      <c r="B504" s="87"/>
      <c r="C504" s="87"/>
      <c r="D504" s="88"/>
      <c r="E504" s="88"/>
      <c r="F504" s="88"/>
      <c r="G504" s="88"/>
      <c r="H504" s="89"/>
      <c r="J504" s="88"/>
    </row>
    <row r="505">
      <c r="B505" s="87"/>
      <c r="C505" s="87"/>
      <c r="D505" s="88"/>
      <c r="E505" s="88"/>
      <c r="F505" s="88"/>
      <c r="G505" s="88"/>
      <c r="H505" s="89"/>
      <c r="J505" s="88"/>
    </row>
    <row r="506">
      <c r="B506" s="87"/>
      <c r="C506" s="87"/>
      <c r="D506" s="88"/>
      <c r="E506" s="88"/>
      <c r="F506" s="88"/>
      <c r="G506" s="88"/>
      <c r="H506" s="89"/>
      <c r="J506" s="88"/>
    </row>
    <row r="507">
      <c r="B507" s="87"/>
      <c r="C507" s="87"/>
      <c r="D507" s="88"/>
      <c r="E507" s="88"/>
      <c r="F507" s="88"/>
      <c r="G507" s="88"/>
      <c r="H507" s="89"/>
      <c r="J507" s="88"/>
    </row>
    <row r="508">
      <c r="B508" s="87"/>
      <c r="C508" s="87"/>
      <c r="D508" s="88"/>
      <c r="E508" s="88"/>
      <c r="F508" s="88"/>
      <c r="G508" s="88"/>
      <c r="H508" s="89"/>
      <c r="J508" s="88"/>
    </row>
    <row r="509">
      <c r="B509" s="87"/>
      <c r="C509" s="87"/>
      <c r="D509" s="88"/>
      <c r="E509" s="88"/>
      <c r="F509" s="88"/>
      <c r="G509" s="88"/>
      <c r="H509" s="89"/>
      <c r="J509" s="88"/>
    </row>
    <row r="510">
      <c r="B510" s="87"/>
      <c r="C510" s="87"/>
      <c r="D510" s="88"/>
      <c r="E510" s="88"/>
      <c r="F510" s="88"/>
      <c r="G510" s="88"/>
      <c r="H510" s="89"/>
      <c r="J510" s="88"/>
    </row>
    <row r="511">
      <c r="B511" s="87"/>
      <c r="C511" s="87"/>
      <c r="D511" s="88"/>
      <c r="E511" s="88"/>
      <c r="F511" s="88"/>
      <c r="G511" s="88"/>
      <c r="H511" s="89"/>
      <c r="J511" s="88"/>
    </row>
    <row r="512">
      <c r="B512" s="87"/>
      <c r="C512" s="87"/>
      <c r="D512" s="88"/>
      <c r="E512" s="88"/>
      <c r="F512" s="88"/>
      <c r="G512" s="88"/>
      <c r="H512" s="89"/>
      <c r="J512" s="88"/>
    </row>
    <row r="513">
      <c r="B513" s="87"/>
      <c r="C513" s="87"/>
      <c r="D513" s="88"/>
      <c r="E513" s="88"/>
      <c r="F513" s="88"/>
      <c r="G513" s="88"/>
      <c r="H513" s="89"/>
      <c r="J513" s="88"/>
    </row>
    <row r="514">
      <c r="B514" s="87"/>
      <c r="C514" s="87"/>
      <c r="D514" s="88"/>
      <c r="E514" s="88"/>
      <c r="F514" s="88"/>
      <c r="G514" s="88"/>
      <c r="H514" s="89"/>
      <c r="J514" s="88"/>
    </row>
    <row r="515">
      <c r="B515" s="87"/>
      <c r="C515" s="87"/>
      <c r="D515" s="88"/>
      <c r="E515" s="88"/>
      <c r="F515" s="88"/>
      <c r="G515" s="88"/>
      <c r="H515" s="89"/>
      <c r="J515" s="88"/>
    </row>
    <row r="516">
      <c r="B516" s="87"/>
      <c r="C516" s="87"/>
      <c r="D516" s="88"/>
      <c r="E516" s="88"/>
      <c r="F516" s="88"/>
      <c r="G516" s="88"/>
      <c r="H516" s="89"/>
      <c r="J516" s="88"/>
    </row>
    <row r="517">
      <c r="B517" s="87"/>
      <c r="C517" s="87"/>
      <c r="D517" s="88"/>
      <c r="E517" s="88"/>
      <c r="F517" s="88"/>
      <c r="G517" s="88"/>
      <c r="H517" s="89"/>
      <c r="J517" s="88"/>
    </row>
    <row r="518">
      <c r="B518" s="87"/>
      <c r="C518" s="87"/>
      <c r="D518" s="88"/>
      <c r="E518" s="88"/>
      <c r="F518" s="88"/>
      <c r="G518" s="88"/>
      <c r="H518" s="89"/>
      <c r="J518" s="88"/>
    </row>
    <row r="519">
      <c r="B519" s="87"/>
      <c r="C519" s="87"/>
      <c r="D519" s="88"/>
      <c r="E519" s="88"/>
      <c r="F519" s="88"/>
      <c r="G519" s="88"/>
      <c r="H519" s="89"/>
      <c r="J519" s="88"/>
    </row>
    <row r="520">
      <c r="B520" s="87"/>
      <c r="C520" s="87"/>
      <c r="D520" s="88"/>
      <c r="E520" s="88"/>
      <c r="F520" s="88"/>
      <c r="G520" s="88"/>
      <c r="H520" s="89"/>
      <c r="J520" s="88"/>
    </row>
    <row r="521">
      <c r="B521" s="87"/>
      <c r="C521" s="87"/>
      <c r="D521" s="88"/>
      <c r="E521" s="88"/>
      <c r="F521" s="88"/>
      <c r="G521" s="88"/>
      <c r="H521" s="89"/>
      <c r="J521" s="88"/>
    </row>
    <row r="522">
      <c r="B522" s="87"/>
      <c r="C522" s="87"/>
      <c r="D522" s="88"/>
      <c r="E522" s="88"/>
      <c r="F522" s="88"/>
      <c r="G522" s="88"/>
      <c r="H522" s="89"/>
      <c r="J522" s="88"/>
    </row>
    <row r="523">
      <c r="B523" s="87"/>
      <c r="C523" s="87"/>
      <c r="D523" s="88"/>
      <c r="E523" s="88"/>
      <c r="F523" s="88"/>
      <c r="G523" s="88"/>
      <c r="H523" s="89"/>
      <c r="J523" s="88"/>
    </row>
    <row r="524">
      <c r="B524" s="87"/>
      <c r="C524" s="87"/>
      <c r="D524" s="88"/>
      <c r="E524" s="88"/>
      <c r="F524" s="88"/>
      <c r="G524" s="88"/>
      <c r="H524" s="89"/>
      <c r="J524" s="88"/>
    </row>
    <row r="525">
      <c r="B525" s="87"/>
      <c r="C525" s="87"/>
      <c r="D525" s="88"/>
      <c r="E525" s="88"/>
      <c r="F525" s="88"/>
      <c r="G525" s="88"/>
      <c r="H525" s="89"/>
      <c r="J525" s="88"/>
    </row>
    <row r="526">
      <c r="B526" s="87"/>
      <c r="C526" s="87"/>
      <c r="D526" s="88"/>
      <c r="E526" s="88"/>
      <c r="F526" s="88"/>
      <c r="G526" s="88"/>
      <c r="H526" s="89"/>
      <c r="J526" s="88"/>
    </row>
    <row r="527">
      <c r="B527" s="87"/>
      <c r="C527" s="87"/>
      <c r="D527" s="88"/>
      <c r="E527" s="88"/>
      <c r="F527" s="88"/>
      <c r="G527" s="88"/>
      <c r="H527" s="89"/>
      <c r="J527" s="88"/>
    </row>
    <row r="528">
      <c r="B528" s="87"/>
      <c r="C528" s="87"/>
      <c r="D528" s="88"/>
      <c r="E528" s="88"/>
      <c r="F528" s="88"/>
      <c r="G528" s="88"/>
      <c r="H528" s="89"/>
      <c r="J528" s="88"/>
    </row>
    <row r="529">
      <c r="B529" s="87"/>
      <c r="C529" s="87"/>
      <c r="D529" s="88"/>
      <c r="E529" s="88"/>
      <c r="F529" s="88"/>
      <c r="G529" s="88"/>
      <c r="H529" s="89"/>
      <c r="J529" s="88"/>
    </row>
    <row r="530">
      <c r="B530" s="87"/>
      <c r="C530" s="87"/>
      <c r="D530" s="88"/>
      <c r="E530" s="88"/>
      <c r="F530" s="88"/>
      <c r="G530" s="88"/>
      <c r="H530" s="89"/>
      <c r="J530" s="88"/>
    </row>
    <row r="531">
      <c r="B531" s="87"/>
      <c r="C531" s="87"/>
      <c r="D531" s="88"/>
      <c r="E531" s="88"/>
      <c r="F531" s="88"/>
      <c r="G531" s="88"/>
      <c r="H531" s="89"/>
      <c r="J531" s="88"/>
    </row>
    <row r="532">
      <c r="B532" s="87"/>
      <c r="C532" s="87"/>
      <c r="D532" s="88"/>
      <c r="E532" s="88"/>
      <c r="F532" s="88"/>
      <c r="G532" s="88"/>
      <c r="H532" s="89"/>
      <c r="J532" s="88"/>
    </row>
    <row r="533">
      <c r="B533" s="87"/>
      <c r="C533" s="87"/>
      <c r="D533" s="88"/>
      <c r="E533" s="88"/>
      <c r="F533" s="88"/>
      <c r="G533" s="88"/>
      <c r="H533" s="89"/>
      <c r="J533" s="88"/>
    </row>
    <row r="534">
      <c r="B534" s="87"/>
      <c r="C534" s="87"/>
      <c r="D534" s="88"/>
      <c r="E534" s="88"/>
      <c r="F534" s="88"/>
      <c r="G534" s="88"/>
      <c r="H534" s="89"/>
      <c r="J534" s="88"/>
    </row>
    <row r="535">
      <c r="B535" s="87"/>
      <c r="C535" s="87"/>
      <c r="D535" s="88"/>
      <c r="E535" s="88"/>
      <c r="F535" s="88"/>
      <c r="G535" s="88"/>
      <c r="H535" s="89"/>
      <c r="J535" s="88"/>
    </row>
    <row r="536">
      <c r="B536" s="87"/>
      <c r="C536" s="87"/>
      <c r="D536" s="88"/>
      <c r="E536" s="88"/>
      <c r="F536" s="88"/>
      <c r="G536" s="88"/>
      <c r="H536" s="89"/>
      <c r="J536" s="88"/>
    </row>
    <row r="537">
      <c r="B537" s="87"/>
      <c r="C537" s="87"/>
      <c r="D537" s="88"/>
      <c r="E537" s="88"/>
      <c r="F537" s="88"/>
      <c r="G537" s="88"/>
      <c r="H537" s="89"/>
      <c r="J537" s="88"/>
    </row>
    <row r="538">
      <c r="B538" s="87"/>
      <c r="C538" s="87"/>
      <c r="D538" s="88"/>
      <c r="E538" s="88"/>
      <c r="F538" s="88"/>
      <c r="G538" s="88"/>
      <c r="H538" s="89"/>
      <c r="J538" s="88"/>
    </row>
    <row r="539">
      <c r="B539" s="87"/>
      <c r="C539" s="87"/>
      <c r="D539" s="88"/>
      <c r="E539" s="88"/>
      <c r="F539" s="88"/>
      <c r="G539" s="88"/>
      <c r="H539" s="89"/>
      <c r="J539" s="88"/>
    </row>
    <row r="540">
      <c r="B540" s="87"/>
      <c r="C540" s="87"/>
      <c r="D540" s="88"/>
      <c r="E540" s="88"/>
      <c r="F540" s="88"/>
      <c r="G540" s="88"/>
      <c r="H540" s="89"/>
      <c r="J540" s="88"/>
    </row>
    <row r="541">
      <c r="B541" s="87"/>
      <c r="C541" s="87"/>
      <c r="D541" s="88"/>
      <c r="E541" s="88"/>
      <c r="F541" s="88"/>
      <c r="G541" s="88"/>
      <c r="H541" s="89"/>
      <c r="J541" s="88"/>
    </row>
    <row r="542">
      <c r="B542" s="87"/>
      <c r="C542" s="87"/>
      <c r="D542" s="88"/>
      <c r="E542" s="88"/>
      <c r="F542" s="88"/>
      <c r="G542" s="88"/>
      <c r="H542" s="89"/>
      <c r="J542" s="88"/>
    </row>
    <row r="543">
      <c r="B543" s="87"/>
      <c r="C543" s="87"/>
      <c r="D543" s="88"/>
      <c r="E543" s="88"/>
      <c r="F543" s="88"/>
      <c r="G543" s="88"/>
      <c r="H543" s="89"/>
      <c r="J543" s="88"/>
    </row>
    <row r="544">
      <c r="B544" s="87"/>
      <c r="C544" s="87"/>
      <c r="D544" s="88"/>
      <c r="E544" s="88"/>
      <c r="F544" s="88"/>
      <c r="G544" s="88"/>
      <c r="H544" s="89"/>
      <c r="J544" s="88"/>
    </row>
    <row r="545">
      <c r="B545" s="87"/>
      <c r="C545" s="87"/>
      <c r="D545" s="88"/>
      <c r="E545" s="88"/>
      <c r="F545" s="88"/>
      <c r="G545" s="88"/>
      <c r="H545" s="89"/>
      <c r="J545" s="88"/>
    </row>
    <row r="546">
      <c r="B546" s="87"/>
      <c r="C546" s="87"/>
      <c r="D546" s="88"/>
      <c r="E546" s="88"/>
      <c r="F546" s="88"/>
      <c r="G546" s="88"/>
      <c r="H546" s="89"/>
      <c r="J546" s="88"/>
    </row>
    <row r="547">
      <c r="B547" s="87"/>
      <c r="C547" s="87"/>
      <c r="D547" s="88"/>
      <c r="E547" s="88"/>
      <c r="F547" s="88"/>
      <c r="G547" s="88"/>
      <c r="H547" s="89"/>
      <c r="J547" s="88"/>
    </row>
    <row r="548">
      <c r="B548" s="87"/>
      <c r="C548" s="87"/>
      <c r="D548" s="88"/>
      <c r="E548" s="88"/>
      <c r="F548" s="88"/>
      <c r="G548" s="88"/>
      <c r="H548" s="89"/>
      <c r="J548" s="88"/>
    </row>
    <row r="549">
      <c r="B549" s="87"/>
      <c r="C549" s="87"/>
      <c r="D549" s="88"/>
      <c r="E549" s="88"/>
      <c r="F549" s="88"/>
      <c r="G549" s="88"/>
      <c r="H549" s="89"/>
      <c r="J549" s="88"/>
    </row>
    <row r="550">
      <c r="B550" s="87"/>
      <c r="C550" s="87"/>
      <c r="D550" s="88"/>
      <c r="E550" s="88"/>
      <c r="F550" s="88"/>
      <c r="G550" s="88"/>
      <c r="H550" s="89"/>
      <c r="J550" s="88"/>
    </row>
    <row r="551">
      <c r="B551" s="87"/>
      <c r="C551" s="87"/>
      <c r="D551" s="88"/>
      <c r="E551" s="88"/>
      <c r="F551" s="88"/>
      <c r="G551" s="88"/>
      <c r="H551" s="89"/>
      <c r="J551" s="88"/>
    </row>
    <row r="552">
      <c r="B552" s="87"/>
      <c r="C552" s="87"/>
      <c r="D552" s="88"/>
      <c r="E552" s="88"/>
      <c r="F552" s="88"/>
      <c r="G552" s="88"/>
      <c r="H552" s="89"/>
      <c r="J552" s="88"/>
    </row>
    <row r="553">
      <c r="B553" s="87"/>
      <c r="C553" s="87"/>
      <c r="D553" s="88"/>
      <c r="E553" s="88"/>
      <c r="F553" s="88"/>
      <c r="G553" s="88"/>
      <c r="H553" s="89"/>
      <c r="J553" s="88"/>
    </row>
    <row r="554">
      <c r="B554" s="87"/>
      <c r="C554" s="87"/>
      <c r="D554" s="88"/>
      <c r="E554" s="88"/>
      <c r="F554" s="88"/>
      <c r="G554" s="88"/>
      <c r="H554" s="89"/>
      <c r="J554" s="88"/>
    </row>
    <row r="555">
      <c r="B555" s="87"/>
      <c r="C555" s="87"/>
      <c r="D555" s="88"/>
      <c r="E555" s="88"/>
      <c r="F555" s="88"/>
      <c r="G555" s="88"/>
      <c r="H555" s="89"/>
      <c r="J555" s="88"/>
    </row>
    <row r="556">
      <c r="B556" s="87"/>
      <c r="C556" s="87"/>
      <c r="D556" s="88"/>
      <c r="E556" s="88"/>
      <c r="F556" s="88"/>
      <c r="G556" s="88"/>
      <c r="H556" s="89"/>
      <c r="J556" s="88"/>
    </row>
    <row r="557">
      <c r="B557" s="87"/>
      <c r="C557" s="87"/>
      <c r="D557" s="88"/>
      <c r="E557" s="88"/>
      <c r="F557" s="88"/>
      <c r="G557" s="88"/>
      <c r="H557" s="89"/>
      <c r="J557" s="88"/>
    </row>
    <row r="558">
      <c r="B558" s="87"/>
      <c r="C558" s="87"/>
      <c r="D558" s="88"/>
      <c r="E558" s="88"/>
      <c r="F558" s="88"/>
      <c r="G558" s="88"/>
      <c r="H558" s="89"/>
      <c r="J558" s="88"/>
    </row>
    <row r="559">
      <c r="B559" s="87"/>
      <c r="C559" s="87"/>
      <c r="D559" s="88"/>
      <c r="E559" s="88"/>
      <c r="F559" s="88"/>
      <c r="G559" s="88"/>
      <c r="H559" s="89"/>
      <c r="J559" s="88"/>
    </row>
    <row r="560">
      <c r="B560" s="87"/>
      <c r="C560" s="87"/>
      <c r="D560" s="88"/>
      <c r="E560" s="88"/>
      <c r="F560" s="88"/>
      <c r="G560" s="88"/>
      <c r="H560" s="89"/>
      <c r="J560" s="88"/>
    </row>
    <row r="561">
      <c r="B561" s="87"/>
      <c r="C561" s="87"/>
      <c r="D561" s="88"/>
      <c r="E561" s="88"/>
      <c r="F561" s="88"/>
      <c r="G561" s="88"/>
      <c r="H561" s="89"/>
      <c r="J561" s="88"/>
    </row>
    <row r="562">
      <c r="B562" s="87"/>
      <c r="C562" s="87"/>
      <c r="D562" s="88"/>
      <c r="E562" s="88"/>
      <c r="F562" s="88"/>
      <c r="G562" s="88"/>
      <c r="H562" s="89"/>
      <c r="J562" s="88"/>
    </row>
    <row r="563">
      <c r="B563" s="87"/>
      <c r="C563" s="87"/>
      <c r="D563" s="88"/>
      <c r="E563" s="88"/>
      <c r="F563" s="88"/>
      <c r="G563" s="88"/>
      <c r="H563" s="89"/>
      <c r="J563" s="88"/>
    </row>
    <row r="564">
      <c r="B564" s="87"/>
      <c r="C564" s="87"/>
      <c r="D564" s="88"/>
      <c r="E564" s="88"/>
      <c r="F564" s="88"/>
      <c r="G564" s="88"/>
      <c r="H564" s="89"/>
      <c r="J564" s="88"/>
    </row>
    <row r="565">
      <c r="B565" s="87"/>
      <c r="C565" s="87"/>
      <c r="D565" s="88"/>
      <c r="E565" s="88"/>
      <c r="F565" s="88"/>
      <c r="G565" s="88"/>
      <c r="H565" s="89"/>
      <c r="J565" s="88"/>
    </row>
    <row r="566">
      <c r="B566" s="87"/>
      <c r="C566" s="87"/>
      <c r="D566" s="88"/>
      <c r="E566" s="88"/>
      <c r="F566" s="88"/>
      <c r="G566" s="88"/>
      <c r="H566" s="89"/>
      <c r="J566" s="88"/>
    </row>
    <row r="567">
      <c r="B567" s="87"/>
      <c r="C567" s="87"/>
      <c r="D567" s="88"/>
      <c r="E567" s="88"/>
      <c r="F567" s="88"/>
      <c r="G567" s="88"/>
      <c r="H567" s="89"/>
      <c r="J567" s="88"/>
    </row>
    <row r="568">
      <c r="B568" s="87"/>
      <c r="C568" s="87"/>
      <c r="D568" s="88"/>
      <c r="E568" s="88"/>
      <c r="F568" s="88"/>
      <c r="G568" s="88"/>
      <c r="H568" s="89"/>
      <c r="J568" s="88"/>
    </row>
    <row r="569">
      <c r="B569" s="87"/>
      <c r="C569" s="87"/>
      <c r="D569" s="88"/>
      <c r="E569" s="88"/>
      <c r="F569" s="88"/>
      <c r="G569" s="88"/>
      <c r="H569" s="89"/>
      <c r="J569" s="88"/>
    </row>
    <row r="570">
      <c r="B570" s="87"/>
      <c r="C570" s="87"/>
      <c r="D570" s="88"/>
      <c r="E570" s="88"/>
      <c r="F570" s="88"/>
      <c r="G570" s="88"/>
      <c r="H570" s="89"/>
      <c r="J570" s="88"/>
    </row>
    <row r="571">
      <c r="B571" s="87"/>
      <c r="C571" s="87"/>
      <c r="D571" s="88"/>
      <c r="E571" s="88"/>
      <c r="F571" s="88"/>
      <c r="G571" s="88"/>
      <c r="H571" s="89"/>
      <c r="J571" s="88"/>
    </row>
    <row r="572">
      <c r="B572" s="87"/>
      <c r="C572" s="87"/>
      <c r="D572" s="88"/>
      <c r="E572" s="88"/>
      <c r="F572" s="88"/>
      <c r="G572" s="88"/>
      <c r="H572" s="89"/>
      <c r="J572" s="88"/>
    </row>
    <row r="573">
      <c r="B573" s="87"/>
      <c r="C573" s="87"/>
      <c r="D573" s="88"/>
      <c r="E573" s="88"/>
      <c r="F573" s="88"/>
      <c r="G573" s="88"/>
      <c r="H573" s="89"/>
      <c r="J573" s="88"/>
    </row>
    <row r="574">
      <c r="B574" s="87"/>
      <c r="C574" s="87"/>
      <c r="D574" s="88"/>
      <c r="E574" s="88"/>
      <c r="F574" s="88"/>
      <c r="G574" s="88"/>
      <c r="H574" s="89"/>
      <c r="J574" s="88"/>
    </row>
    <row r="575">
      <c r="B575" s="87"/>
      <c r="C575" s="87"/>
      <c r="D575" s="88"/>
      <c r="E575" s="88"/>
      <c r="F575" s="88"/>
      <c r="G575" s="88"/>
      <c r="H575" s="89"/>
      <c r="J575" s="88"/>
    </row>
    <row r="576">
      <c r="B576" s="87"/>
      <c r="C576" s="87"/>
      <c r="D576" s="88"/>
      <c r="E576" s="88"/>
      <c r="F576" s="88"/>
      <c r="G576" s="88"/>
      <c r="H576" s="89"/>
      <c r="J576" s="88"/>
    </row>
    <row r="577">
      <c r="B577" s="87"/>
      <c r="C577" s="87"/>
      <c r="D577" s="88"/>
      <c r="E577" s="88"/>
      <c r="F577" s="88"/>
      <c r="G577" s="88"/>
      <c r="H577" s="89"/>
      <c r="J577" s="88"/>
    </row>
    <row r="578">
      <c r="B578" s="87"/>
      <c r="C578" s="87"/>
      <c r="D578" s="88"/>
      <c r="E578" s="88"/>
      <c r="F578" s="88"/>
      <c r="G578" s="88"/>
      <c r="H578" s="89"/>
      <c r="J578" s="88"/>
    </row>
    <row r="579">
      <c r="B579" s="87"/>
      <c r="C579" s="87"/>
      <c r="D579" s="88"/>
      <c r="E579" s="88"/>
      <c r="F579" s="88"/>
      <c r="G579" s="88"/>
      <c r="H579" s="89"/>
      <c r="J579" s="88"/>
    </row>
    <row r="580">
      <c r="B580" s="87"/>
      <c r="C580" s="87"/>
      <c r="D580" s="88"/>
      <c r="E580" s="88"/>
      <c r="F580" s="88"/>
      <c r="G580" s="88"/>
      <c r="H580" s="89"/>
      <c r="J580" s="88"/>
    </row>
    <row r="581">
      <c r="B581" s="87"/>
      <c r="C581" s="87"/>
      <c r="D581" s="88"/>
      <c r="E581" s="88"/>
      <c r="F581" s="88"/>
      <c r="G581" s="88"/>
      <c r="H581" s="89"/>
      <c r="J581" s="88"/>
    </row>
    <row r="582">
      <c r="B582" s="87"/>
      <c r="C582" s="87"/>
      <c r="D582" s="88"/>
      <c r="E582" s="88"/>
      <c r="F582" s="88"/>
      <c r="G582" s="88"/>
      <c r="H582" s="89"/>
      <c r="J582" s="88"/>
    </row>
    <row r="583">
      <c r="B583" s="87"/>
      <c r="C583" s="87"/>
      <c r="D583" s="88"/>
      <c r="E583" s="88"/>
      <c r="F583" s="88"/>
      <c r="G583" s="88"/>
      <c r="H583" s="89"/>
      <c r="J583" s="88"/>
    </row>
    <row r="584">
      <c r="B584" s="87"/>
      <c r="C584" s="87"/>
      <c r="D584" s="88"/>
      <c r="E584" s="88"/>
      <c r="F584" s="88"/>
      <c r="G584" s="88"/>
      <c r="H584" s="89"/>
      <c r="J584" s="88"/>
    </row>
    <row r="585">
      <c r="B585" s="87"/>
      <c r="C585" s="87"/>
      <c r="D585" s="88"/>
      <c r="E585" s="88"/>
      <c r="F585" s="88"/>
      <c r="G585" s="88"/>
      <c r="H585" s="89"/>
      <c r="J585" s="88"/>
    </row>
    <row r="586">
      <c r="B586" s="87"/>
      <c r="C586" s="87"/>
      <c r="D586" s="88"/>
      <c r="E586" s="88"/>
      <c r="F586" s="88"/>
      <c r="G586" s="88"/>
      <c r="H586" s="89"/>
      <c r="J586" s="88"/>
    </row>
    <row r="587">
      <c r="B587" s="87"/>
      <c r="C587" s="87"/>
      <c r="D587" s="88"/>
      <c r="E587" s="88"/>
      <c r="F587" s="88"/>
      <c r="G587" s="88"/>
      <c r="H587" s="89"/>
      <c r="J587" s="88"/>
    </row>
    <row r="588">
      <c r="B588" s="87"/>
      <c r="C588" s="87"/>
      <c r="D588" s="88"/>
      <c r="E588" s="88"/>
      <c r="F588" s="88"/>
      <c r="G588" s="88"/>
      <c r="H588" s="89"/>
      <c r="J588" s="88"/>
    </row>
    <row r="589">
      <c r="B589" s="87"/>
      <c r="C589" s="87"/>
      <c r="D589" s="88"/>
      <c r="E589" s="88"/>
      <c r="F589" s="88"/>
      <c r="G589" s="88"/>
      <c r="H589" s="89"/>
      <c r="J589" s="88"/>
    </row>
    <row r="590">
      <c r="B590" s="87"/>
      <c r="C590" s="87"/>
      <c r="D590" s="88"/>
      <c r="E590" s="88"/>
      <c r="F590" s="88"/>
      <c r="G590" s="88"/>
      <c r="H590" s="89"/>
      <c r="J590" s="88"/>
    </row>
    <row r="591">
      <c r="B591" s="87"/>
      <c r="C591" s="87"/>
      <c r="D591" s="88"/>
      <c r="E591" s="88"/>
      <c r="F591" s="88"/>
      <c r="G591" s="88"/>
      <c r="H591" s="89"/>
      <c r="J591" s="88"/>
    </row>
    <row r="592">
      <c r="B592" s="87"/>
      <c r="C592" s="87"/>
      <c r="D592" s="88"/>
      <c r="E592" s="88"/>
      <c r="F592" s="88"/>
      <c r="G592" s="88"/>
      <c r="H592" s="89"/>
      <c r="J592" s="88"/>
    </row>
    <row r="593">
      <c r="B593" s="87"/>
      <c r="C593" s="87"/>
      <c r="D593" s="88"/>
      <c r="E593" s="88"/>
      <c r="F593" s="88"/>
      <c r="G593" s="88"/>
      <c r="H593" s="89"/>
      <c r="J593" s="88"/>
    </row>
    <row r="594">
      <c r="B594" s="87"/>
      <c r="C594" s="87"/>
      <c r="D594" s="88"/>
      <c r="E594" s="88"/>
      <c r="F594" s="88"/>
      <c r="G594" s="88"/>
      <c r="H594" s="89"/>
      <c r="J594" s="88"/>
    </row>
    <row r="595">
      <c r="B595" s="87"/>
      <c r="C595" s="87"/>
      <c r="D595" s="88"/>
      <c r="E595" s="88"/>
      <c r="F595" s="88"/>
      <c r="G595" s="88"/>
      <c r="H595" s="89"/>
      <c r="J595" s="88"/>
    </row>
    <row r="596">
      <c r="B596" s="87"/>
      <c r="C596" s="87"/>
      <c r="D596" s="88"/>
      <c r="E596" s="88"/>
      <c r="F596" s="88"/>
      <c r="G596" s="88"/>
      <c r="H596" s="89"/>
      <c r="J596" s="88"/>
    </row>
    <row r="597">
      <c r="B597" s="87"/>
      <c r="C597" s="87"/>
      <c r="D597" s="88"/>
      <c r="E597" s="88"/>
      <c r="F597" s="88"/>
      <c r="G597" s="88"/>
      <c r="H597" s="89"/>
      <c r="J597" s="88"/>
    </row>
    <row r="598">
      <c r="B598" s="87"/>
      <c r="C598" s="87"/>
      <c r="D598" s="88"/>
      <c r="E598" s="88"/>
      <c r="F598" s="88"/>
      <c r="G598" s="88"/>
      <c r="H598" s="89"/>
      <c r="J598" s="88"/>
    </row>
    <row r="599">
      <c r="B599" s="87"/>
      <c r="C599" s="87"/>
      <c r="D599" s="88"/>
      <c r="E599" s="88"/>
      <c r="F599" s="88"/>
      <c r="G599" s="88"/>
      <c r="H599" s="89"/>
      <c r="J599" s="88"/>
    </row>
    <row r="600">
      <c r="B600" s="87"/>
      <c r="C600" s="87"/>
      <c r="D600" s="88"/>
      <c r="E600" s="88"/>
      <c r="F600" s="88"/>
      <c r="G600" s="88"/>
      <c r="H600" s="89"/>
      <c r="J600" s="88"/>
    </row>
    <row r="601">
      <c r="B601" s="87"/>
      <c r="C601" s="87"/>
      <c r="D601" s="88"/>
      <c r="E601" s="88"/>
      <c r="F601" s="88"/>
      <c r="G601" s="88"/>
      <c r="H601" s="89"/>
      <c r="J601" s="88"/>
    </row>
    <row r="602">
      <c r="B602" s="87"/>
      <c r="C602" s="87"/>
      <c r="D602" s="88"/>
      <c r="E602" s="88"/>
      <c r="F602" s="88"/>
      <c r="G602" s="88"/>
      <c r="H602" s="89"/>
      <c r="J602" s="88"/>
    </row>
    <row r="603">
      <c r="B603" s="87"/>
      <c r="C603" s="87"/>
      <c r="D603" s="88"/>
      <c r="E603" s="88"/>
      <c r="F603" s="88"/>
      <c r="G603" s="88"/>
      <c r="H603" s="89"/>
      <c r="J603" s="88"/>
    </row>
    <row r="604">
      <c r="B604" s="87"/>
      <c r="C604" s="87"/>
      <c r="D604" s="88"/>
      <c r="E604" s="88"/>
      <c r="F604" s="88"/>
      <c r="G604" s="88"/>
      <c r="H604" s="89"/>
      <c r="J604" s="88"/>
    </row>
    <row r="605">
      <c r="B605" s="87"/>
      <c r="C605" s="87"/>
      <c r="D605" s="88"/>
      <c r="E605" s="88"/>
      <c r="F605" s="88"/>
      <c r="G605" s="88"/>
      <c r="H605" s="89"/>
      <c r="J605" s="88"/>
    </row>
    <row r="606">
      <c r="B606" s="87"/>
      <c r="C606" s="87"/>
      <c r="D606" s="88"/>
      <c r="E606" s="88"/>
      <c r="F606" s="88"/>
      <c r="G606" s="88"/>
      <c r="H606" s="89"/>
      <c r="J606" s="88"/>
    </row>
    <row r="607">
      <c r="B607" s="87"/>
      <c r="C607" s="87"/>
      <c r="D607" s="88"/>
      <c r="E607" s="88"/>
      <c r="F607" s="88"/>
      <c r="G607" s="88"/>
      <c r="H607" s="89"/>
      <c r="J607" s="88"/>
    </row>
    <row r="608">
      <c r="B608" s="87"/>
      <c r="C608" s="87"/>
      <c r="D608" s="88"/>
      <c r="E608" s="88"/>
      <c r="F608" s="88"/>
      <c r="G608" s="88"/>
      <c r="H608" s="89"/>
      <c r="J608" s="88"/>
    </row>
    <row r="609">
      <c r="B609" s="87"/>
      <c r="C609" s="87"/>
      <c r="D609" s="88"/>
      <c r="E609" s="88"/>
      <c r="F609" s="88"/>
      <c r="G609" s="88"/>
      <c r="H609" s="89"/>
      <c r="J609" s="88"/>
    </row>
    <row r="610">
      <c r="B610" s="87"/>
      <c r="C610" s="87"/>
      <c r="D610" s="88"/>
      <c r="E610" s="88"/>
      <c r="F610" s="88"/>
      <c r="G610" s="88"/>
      <c r="H610" s="89"/>
      <c r="J610" s="88"/>
    </row>
    <row r="611">
      <c r="B611" s="87"/>
      <c r="C611" s="87"/>
      <c r="D611" s="88"/>
      <c r="E611" s="88"/>
      <c r="F611" s="88"/>
      <c r="G611" s="88"/>
      <c r="H611" s="89"/>
      <c r="J611" s="88"/>
    </row>
    <row r="612">
      <c r="B612" s="87"/>
      <c r="C612" s="87"/>
      <c r="D612" s="88"/>
      <c r="E612" s="88"/>
      <c r="F612" s="88"/>
      <c r="G612" s="88"/>
      <c r="H612" s="89"/>
      <c r="J612" s="88"/>
    </row>
    <row r="613">
      <c r="B613" s="87"/>
      <c r="C613" s="87"/>
      <c r="D613" s="88"/>
      <c r="E613" s="88"/>
      <c r="F613" s="88"/>
      <c r="G613" s="88"/>
      <c r="H613" s="89"/>
      <c r="J613" s="88"/>
    </row>
    <row r="614">
      <c r="B614" s="87"/>
      <c r="C614" s="87"/>
      <c r="D614" s="88"/>
      <c r="E614" s="88"/>
      <c r="F614" s="88"/>
      <c r="G614" s="88"/>
      <c r="H614" s="89"/>
      <c r="J614" s="88"/>
    </row>
    <row r="615">
      <c r="B615" s="87"/>
      <c r="C615" s="87"/>
      <c r="D615" s="88"/>
      <c r="E615" s="88"/>
      <c r="F615" s="88"/>
      <c r="G615" s="88"/>
      <c r="H615" s="89"/>
      <c r="J615" s="88"/>
    </row>
    <row r="616">
      <c r="B616" s="87"/>
      <c r="C616" s="87"/>
      <c r="D616" s="88"/>
      <c r="E616" s="88"/>
      <c r="F616" s="88"/>
      <c r="G616" s="88"/>
      <c r="H616" s="89"/>
      <c r="J616" s="88"/>
    </row>
    <row r="617">
      <c r="B617" s="87"/>
      <c r="C617" s="87"/>
      <c r="D617" s="88"/>
      <c r="E617" s="88"/>
      <c r="F617" s="88"/>
      <c r="G617" s="88"/>
      <c r="H617" s="89"/>
      <c r="J617" s="88"/>
    </row>
    <row r="618">
      <c r="B618" s="87"/>
      <c r="C618" s="87"/>
      <c r="D618" s="88"/>
      <c r="E618" s="88"/>
      <c r="F618" s="88"/>
      <c r="G618" s="88"/>
      <c r="H618" s="89"/>
      <c r="J618" s="88"/>
    </row>
    <row r="619">
      <c r="B619" s="87"/>
      <c r="C619" s="87"/>
      <c r="D619" s="88"/>
      <c r="E619" s="88"/>
      <c r="F619" s="88"/>
      <c r="G619" s="88"/>
      <c r="H619" s="89"/>
      <c r="J619" s="88"/>
    </row>
    <row r="620">
      <c r="B620" s="87"/>
      <c r="C620" s="87"/>
      <c r="D620" s="88"/>
      <c r="E620" s="88"/>
      <c r="F620" s="88"/>
      <c r="G620" s="88"/>
      <c r="H620" s="89"/>
      <c r="J620" s="88"/>
    </row>
    <row r="621">
      <c r="B621" s="87"/>
      <c r="C621" s="87"/>
      <c r="D621" s="88"/>
      <c r="E621" s="88"/>
      <c r="F621" s="88"/>
      <c r="G621" s="88"/>
      <c r="H621" s="89"/>
      <c r="J621" s="88"/>
    </row>
    <row r="622">
      <c r="B622" s="87"/>
      <c r="C622" s="87"/>
      <c r="D622" s="88"/>
      <c r="E622" s="88"/>
      <c r="F622" s="88"/>
      <c r="G622" s="88"/>
      <c r="H622" s="89"/>
      <c r="J622" s="88"/>
    </row>
    <row r="623">
      <c r="B623" s="87"/>
      <c r="C623" s="87"/>
      <c r="D623" s="88"/>
      <c r="E623" s="88"/>
      <c r="F623" s="88"/>
      <c r="G623" s="88"/>
      <c r="H623" s="89"/>
      <c r="J623" s="88"/>
    </row>
    <row r="624">
      <c r="B624" s="87"/>
      <c r="C624" s="87"/>
      <c r="D624" s="88"/>
      <c r="E624" s="88"/>
      <c r="F624" s="88"/>
      <c r="G624" s="88"/>
      <c r="H624" s="89"/>
      <c r="J624" s="88"/>
    </row>
    <row r="625">
      <c r="B625" s="87"/>
      <c r="C625" s="87"/>
      <c r="D625" s="88"/>
      <c r="E625" s="88"/>
      <c r="F625" s="88"/>
      <c r="G625" s="88"/>
      <c r="H625" s="89"/>
      <c r="J625" s="88"/>
    </row>
    <row r="626">
      <c r="B626" s="87"/>
      <c r="C626" s="87"/>
      <c r="D626" s="88"/>
      <c r="E626" s="88"/>
      <c r="F626" s="88"/>
      <c r="G626" s="88"/>
      <c r="H626" s="89"/>
      <c r="J626" s="88"/>
    </row>
    <row r="627">
      <c r="B627" s="87"/>
      <c r="C627" s="87"/>
      <c r="D627" s="88"/>
      <c r="E627" s="88"/>
      <c r="F627" s="88"/>
      <c r="G627" s="88"/>
      <c r="H627" s="89"/>
      <c r="J627" s="88"/>
    </row>
    <row r="628">
      <c r="B628" s="87"/>
      <c r="C628" s="87"/>
      <c r="D628" s="88"/>
      <c r="E628" s="88"/>
      <c r="F628" s="88"/>
      <c r="G628" s="88"/>
      <c r="H628" s="89"/>
      <c r="J628" s="88"/>
    </row>
    <row r="629">
      <c r="B629" s="87"/>
      <c r="C629" s="87"/>
      <c r="D629" s="88"/>
      <c r="E629" s="88"/>
      <c r="F629" s="88"/>
      <c r="G629" s="88"/>
      <c r="H629" s="89"/>
      <c r="J629" s="88"/>
    </row>
    <row r="630">
      <c r="B630" s="87"/>
      <c r="C630" s="87"/>
      <c r="D630" s="88"/>
      <c r="E630" s="88"/>
      <c r="F630" s="88"/>
      <c r="G630" s="88"/>
      <c r="H630" s="89"/>
      <c r="J630" s="88"/>
    </row>
    <row r="631">
      <c r="B631" s="87"/>
      <c r="C631" s="87"/>
      <c r="D631" s="88"/>
      <c r="E631" s="88"/>
      <c r="F631" s="88"/>
      <c r="G631" s="88"/>
      <c r="H631" s="89"/>
      <c r="J631" s="88"/>
    </row>
    <row r="632">
      <c r="B632" s="87"/>
      <c r="C632" s="87"/>
      <c r="D632" s="88"/>
      <c r="E632" s="88"/>
      <c r="F632" s="88"/>
      <c r="G632" s="88"/>
      <c r="H632" s="89"/>
      <c r="J632" s="88"/>
    </row>
    <row r="633">
      <c r="B633" s="87"/>
      <c r="C633" s="87"/>
      <c r="D633" s="88"/>
      <c r="E633" s="88"/>
      <c r="F633" s="88"/>
      <c r="G633" s="88"/>
      <c r="H633" s="89"/>
      <c r="J633" s="88"/>
    </row>
    <row r="634">
      <c r="B634" s="87"/>
      <c r="C634" s="87"/>
      <c r="D634" s="88"/>
      <c r="E634" s="88"/>
      <c r="F634" s="88"/>
      <c r="G634" s="88"/>
      <c r="H634" s="89"/>
      <c r="J634" s="88"/>
    </row>
    <row r="635">
      <c r="B635" s="87"/>
      <c r="C635" s="87"/>
      <c r="D635" s="88"/>
      <c r="E635" s="88"/>
      <c r="F635" s="88"/>
      <c r="G635" s="88"/>
      <c r="H635" s="89"/>
      <c r="J635" s="88"/>
    </row>
    <row r="636">
      <c r="B636" s="87"/>
      <c r="C636" s="87"/>
      <c r="D636" s="88"/>
      <c r="E636" s="88"/>
      <c r="F636" s="88"/>
      <c r="G636" s="88"/>
      <c r="H636" s="89"/>
      <c r="J636" s="88"/>
    </row>
    <row r="637">
      <c r="B637" s="87"/>
      <c r="C637" s="87"/>
      <c r="D637" s="88"/>
      <c r="E637" s="88"/>
      <c r="F637" s="88"/>
      <c r="G637" s="88"/>
      <c r="H637" s="89"/>
      <c r="J637" s="88"/>
    </row>
    <row r="638">
      <c r="B638" s="87"/>
      <c r="C638" s="87"/>
      <c r="D638" s="88"/>
      <c r="E638" s="88"/>
      <c r="F638" s="88"/>
      <c r="G638" s="88"/>
      <c r="H638" s="89"/>
      <c r="J638" s="88"/>
    </row>
    <row r="639">
      <c r="B639" s="87"/>
      <c r="C639" s="87"/>
      <c r="D639" s="88"/>
      <c r="E639" s="88"/>
      <c r="F639" s="88"/>
      <c r="G639" s="88"/>
      <c r="H639" s="89"/>
      <c r="J639" s="88"/>
    </row>
    <row r="640">
      <c r="B640" s="87"/>
      <c r="C640" s="87"/>
      <c r="D640" s="88"/>
      <c r="E640" s="88"/>
      <c r="F640" s="88"/>
      <c r="G640" s="88"/>
      <c r="H640" s="89"/>
      <c r="J640" s="88"/>
    </row>
    <row r="641">
      <c r="B641" s="87"/>
      <c r="C641" s="87"/>
      <c r="D641" s="88"/>
      <c r="E641" s="88"/>
      <c r="F641" s="88"/>
      <c r="G641" s="88"/>
      <c r="H641" s="89"/>
      <c r="J641" s="88"/>
    </row>
    <row r="642">
      <c r="B642" s="87"/>
      <c r="C642" s="87"/>
      <c r="D642" s="88"/>
      <c r="E642" s="88"/>
      <c r="F642" s="88"/>
      <c r="G642" s="88"/>
      <c r="H642" s="89"/>
      <c r="J642" s="88"/>
    </row>
    <row r="643">
      <c r="B643" s="87"/>
      <c r="C643" s="87"/>
      <c r="D643" s="88"/>
      <c r="E643" s="88"/>
      <c r="F643" s="88"/>
      <c r="G643" s="88"/>
      <c r="H643" s="89"/>
      <c r="J643" s="88"/>
    </row>
    <row r="644">
      <c r="B644" s="87"/>
      <c r="C644" s="87"/>
      <c r="D644" s="88"/>
      <c r="E644" s="88"/>
      <c r="F644" s="88"/>
      <c r="G644" s="88"/>
      <c r="H644" s="89"/>
      <c r="J644" s="88"/>
    </row>
    <row r="645">
      <c r="B645" s="87"/>
      <c r="C645" s="87"/>
      <c r="D645" s="88"/>
      <c r="E645" s="88"/>
      <c r="F645" s="88"/>
      <c r="G645" s="88"/>
      <c r="H645" s="89"/>
      <c r="J645" s="88"/>
    </row>
    <row r="646">
      <c r="B646" s="87"/>
      <c r="C646" s="87"/>
      <c r="D646" s="88"/>
      <c r="E646" s="88"/>
      <c r="F646" s="88"/>
      <c r="G646" s="88"/>
      <c r="H646" s="89"/>
      <c r="J646" s="88"/>
    </row>
    <row r="647">
      <c r="B647" s="87"/>
      <c r="C647" s="87"/>
      <c r="D647" s="88"/>
      <c r="E647" s="88"/>
      <c r="F647" s="88"/>
      <c r="G647" s="88"/>
      <c r="H647" s="89"/>
      <c r="J647" s="88"/>
    </row>
    <row r="648">
      <c r="B648" s="87"/>
      <c r="C648" s="87"/>
      <c r="D648" s="88"/>
      <c r="E648" s="88"/>
      <c r="F648" s="88"/>
      <c r="G648" s="88"/>
      <c r="H648" s="89"/>
      <c r="J648" s="88"/>
    </row>
    <row r="649">
      <c r="B649" s="87"/>
      <c r="C649" s="87"/>
      <c r="D649" s="88"/>
      <c r="E649" s="88"/>
      <c r="F649" s="88"/>
      <c r="G649" s="88"/>
      <c r="H649" s="89"/>
      <c r="J649" s="88"/>
    </row>
    <row r="650">
      <c r="B650" s="87"/>
      <c r="C650" s="87"/>
      <c r="D650" s="88"/>
      <c r="E650" s="88"/>
      <c r="F650" s="88"/>
      <c r="G650" s="88"/>
      <c r="H650" s="89"/>
      <c r="J650" s="88"/>
    </row>
    <row r="651">
      <c r="B651" s="87"/>
      <c r="C651" s="87"/>
      <c r="D651" s="88"/>
      <c r="E651" s="88"/>
      <c r="F651" s="88"/>
      <c r="G651" s="88"/>
      <c r="H651" s="89"/>
      <c r="J651" s="88"/>
    </row>
    <row r="652">
      <c r="B652" s="87"/>
      <c r="C652" s="87"/>
      <c r="D652" s="88"/>
      <c r="E652" s="88"/>
      <c r="F652" s="88"/>
      <c r="G652" s="88"/>
      <c r="H652" s="89"/>
      <c r="J652" s="88"/>
    </row>
    <row r="653">
      <c r="B653" s="87"/>
      <c r="C653" s="87"/>
      <c r="D653" s="88"/>
      <c r="E653" s="88"/>
      <c r="F653" s="88"/>
      <c r="G653" s="88"/>
      <c r="H653" s="89"/>
      <c r="J653" s="88"/>
    </row>
    <row r="654">
      <c r="B654" s="87"/>
      <c r="C654" s="87"/>
      <c r="D654" s="88"/>
      <c r="E654" s="88"/>
      <c r="F654" s="88"/>
      <c r="G654" s="88"/>
      <c r="H654" s="89"/>
      <c r="J654" s="88"/>
    </row>
    <row r="655">
      <c r="B655" s="87"/>
      <c r="C655" s="87"/>
      <c r="D655" s="88"/>
      <c r="E655" s="88"/>
      <c r="F655" s="88"/>
      <c r="G655" s="88"/>
      <c r="H655" s="89"/>
      <c r="J655" s="88"/>
    </row>
    <row r="656">
      <c r="B656" s="87"/>
      <c r="C656" s="87"/>
      <c r="D656" s="88"/>
      <c r="E656" s="88"/>
      <c r="F656" s="88"/>
      <c r="G656" s="88"/>
      <c r="H656" s="89"/>
      <c r="J656" s="88"/>
    </row>
    <row r="657">
      <c r="B657" s="87"/>
      <c r="C657" s="87"/>
      <c r="D657" s="88"/>
      <c r="E657" s="88"/>
      <c r="F657" s="88"/>
      <c r="G657" s="88"/>
      <c r="H657" s="89"/>
      <c r="J657" s="88"/>
    </row>
    <row r="658">
      <c r="B658" s="87"/>
      <c r="C658" s="87"/>
      <c r="D658" s="88"/>
      <c r="E658" s="88"/>
      <c r="F658" s="88"/>
      <c r="G658" s="88"/>
      <c r="H658" s="89"/>
      <c r="J658" s="88"/>
    </row>
    <row r="659">
      <c r="B659" s="87"/>
      <c r="C659" s="87"/>
      <c r="D659" s="88"/>
      <c r="E659" s="88"/>
      <c r="F659" s="88"/>
      <c r="G659" s="88"/>
      <c r="H659" s="89"/>
      <c r="J659" s="88"/>
    </row>
    <row r="660">
      <c r="B660" s="87"/>
      <c r="C660" s="87"/>
      <c r="D660" s="88"/>
      <c r="E660" s="88"/>
      <c r="F660" s="88"/>
      <c r="G660" s="88"/>
      <c r="H660" s="89"/>
      <c r="J660" s="88"/>
    </row>
    <row r="661">
      <c r="B661" s="87"/>
      <c r="C661" s="87"/>
      <c r="D661" s="88"/>
      <c r="E661" s="88"/>
      <c r="F661" s="88"/>
      <c r="G661" s="88"/>
      <c r="H661" s="89"/>
      <c r="J661" s="88"/>
    </row>
    <row r="662">
      <c r="B662" s="87"/>
      <c r="C662" s="87"/>
      <c r="D662" s="88"/>
      <c r="E662" s="88"/>
      <c r="F662" s="88"/>
      <c r="G662" s="88"/>
      <c r="H662" s="89"/>
      <c r="J662" s="88"/>
    </row>
    <row r="663">
      <c r="B663" s="87"/>
      <c r="C663" s="87"/>
      <c r="D663" s="88"/>
      <c r="E663" s="88"/>
      <c r="F663" s="88"/>
      <c r="G663" s="88"/>
      <c r="H663" s="89"/>
      <c r="J663" s="88"/>
    </row>
    <row r="664">
      <c r="B664" s="87"/>
      <c r="C664" s="87"/>
      <c r="D664" s="88"/>
      <c r="E664" s="88"/>
      <c r="F664" s="88"/>
      <c r="G664" s="88"/>
      <c r="H664" s="89"/>
      <c r="J664" s="88"/>
    </row>
    <row r="665">
      <c r="B665" s="87"/>
      <c r="C665" s="87"/>
      <c r="D665" s="88"/>
      <c r="E665" s="88"/>
      <c r="F665" s="88"/>
      <c r="G665" s="88"/>
      <c r="H665" s="89"/>
      <c r="J665" s="88"/>
    </row>
    <row r="666">
      <c r="B666" s="87"/>
      <c r="C666" s="87"/>
      <c r="D666" s="88"/>
      <c r="E666" s="88"/>
      <c r="F666" s="88"/>
      <c r="G666" s="88"/>
      <c r="H666" s="89"/>
      <c r="J666" s="88"/>
    </row>
    <row r="667">
      <c r="B667" s="87"/>
      <c r="C667" s="87"/>
      <c r="D667" s="88"/>
      <c r="E667" s="88"/>
      <c r="F667" s="88"/>
      <c r="G667" s="88"/>
      <c r="H667" s="89"/>
      <c r="J667" s="88"/>
    </row>
    <row r="668">
      <c r="B668" s="87"/>
      <c r="C668" s="87"/>
      <c r="D668" s="88"/>
      <c r="E668" s="88"/>
      <c r="F668" s="88"/>
      <c r="G668" s="88"/>
      <c r="H668" s="89"/>
      <c r="J668" s="88"/>
    </row>
    <row r="669">
      <c r="B669" s="87"/>
      <c r="C669" s="87"/>
      <c r="D669" s="88"/>
      <c r="E669" s="88"/>
      <c r="F669" s="88"/>
      <c r="G669" s="88"/>
      <c r="H669" s="89"/>
      <c r="J669" s="88"/>
    </row>
    <row r="670">
      <c r="B670" s="87"/>
      <c r="C670" s="87"/>
      <c r="D670" s="88"/>
      <c r="E670" s="88"/>
      <c r="F670" s="88"/>
      <c r="G670" s="88"/>
      <c r="H670" s="89"/>
      <c r="J670" s="88"/>
    </row>
    <row r="671">
      <c r="B671" s="87"/>
      <c r="C671" s="87"/>
      <c r="D671" s="88"/>
      <c r="E671" s="88"/>
      <c r="F671" s="88"/>
      <c r="G671" s="88"/>
      <c r="H671" s="89"/>
      <c r="J671" s="88"/>
    </row>
    <row r="672">
      <c r="B672" s="87"/>
      <c r="C672" s="87"/>
      <c r="D672" s="88"/>
      <c r="E672" s="88"/>
      <c r="F672" s="88"/>
      <c r="G672" s="88"/>
      <c r="H672" s="89"/>
      <c r="J672" s="88"/>
    </row>
    <row r="673">
      <c r="B673" s="87"/>
      <c r="C673" s="87"/>
      <c r="D673" s="88"/>
      <c r="E673" s="88"/>
      <c r="F673" s="88"/>
      <c r="G673" s="88"/>
      <c r="H673" s="89"/>
      <c r="J673" s="88"/>
    </row>
    <row r="674">
      <c r="B674" s="87"/>
      <c r="C674" s="87"/>
      <c r="D674" s="88"/>
      <c r="E674" s="88"/>
      <c r="F674" s="88"/>
      <c r="G674" s="88"/>
      <c r="H674" s="89"/>
      <c r="J674" s="88"/>
    </row>
    <row r="675">
      <c r="B675" s="87"/>
      <c r="C675" s="87"/>
      <c r="D675" s="88"/>
      <c r="E675" s="88"/>
      <c r="F675" s="88"/>
      <c r="G675" s="88"/>
      <c r="H675" s="89"/>
      <c r="J675" s="88"/>
    </row>
    <row r="676">
      <c r="B676" s="87"/>
      <c r="C676" s="87"/>
      <c r="D676" s="88"/>
      <c r="E676" s="88"/>
      <c r="F676" s="88"/>
      <c r="G676" s="88"/>
      <c r="H676" s="89"/>
      <c r="J676" s="88"/>
    </row>
    <row r="677">
      <c r="B677" s="87"/>
      <c r="C677" s="87"/>
      <c r="D677" s="88"/>
      <c r="E677" s="88"/>
      <c r="F677" s="88"/>
      <c r="G677" s="88"/>
      <c r="H677" s="89"/>
      <c r="J677" s="88"/>
    </row>
    <row r="678">
      <c r="B678" s="87"/>
      <c r="C678" s="87"/>
      <c r="D678" s="88"/>
      <c r="E678" s="88"/>
      <c r="F678" s="88"/>
      <c r="G678" s="88"/>
      <c r="H678" s="89"/>
      <c r="J678" s="88"/>
    </row>
    <row r="679">
      <c r="B679" s="87"/>
      <c r="C679" s="87"/>
      <c r="D679" s="88"/>
      <c r="E679" s="88"/>
      <c r="F679" s="88"/>
      <c r="G679" s="88"/>
      <c r="H679" s="89"/>
      <c r="J679" s="88"/>
    </row>
    <row r="680">
      <c r="B680" s="87"/>
      <c r="C680" s="87"/>
      <c r="D680" s="88"/>
      <c r="E680" s="88"/>
      <c r="F680" s="88"/>
      <c r="G680" s="88"/>
      <c r="H680" s="89"/>
      <c r="J680" s="88"/>
    </row>
    <row r="681">
      <c r="B681" s="87"/>
      <c r="C681" s="87"/>
      <c r="D681" s="88"/>
      <c r="E681" s="88"/>
      <c r="F681" s="88"/>
      <c r="G681" s="88"/>
      <c r="H681" s="89"/>
      <c r="J681" s="88"/>
    </row>
    <row r="682">
      <c r="B682" s="87"/>
      <c r="C682" s="87"/>
      <c r="D682" s="88"/>
      <c r="E682" s="88"/>
      <c r="F682" s="88"/>
      <c r="G682" s="88"/>
      <c r="H682" s="89"/>
      <c r="J682" s="88"/>
    </row>
    <row r="683">
      <c r="B683" s="87"/>
      <c r="C683" s="87"/>
      <c r="D683" s="88"/>
      <c r="E683" s="88"/>
      <c r="F683" s="88"/>
      <c r="G683" s="88"/>
      <c r="H683" s="89"/>
      <c r="J683" s="88"/>
    </row>
    <row r="684">
      <c r="B684" s="87"/>
      <c r="C684" s="87"/>
      <c r="D684" s="88"/>
      <c r="E684" s="88"/>
      <c r="F684" s="88"/>
      <c r="G684" s="88"/>
      <c r="H684" s="89"/>
      <c r="J684" s="88"/>
    </row>
    <row r="685">
      <c r="B685" s="87"/>
      <c r="C685" s="87"/>
      <c r="D685" s="88"/>
      <c r="E685" s="88"/>
      <c r="F685" s="88"/>
      <c r="G685" s="88"/>
      <c r="H685" s="89"/>
      <c r="J685" s="88"/>
    </row>
    <row r="686">
      <c r="B686" s="87"/>
      <c r="C686" s="87"/>
      <c r="D686" s="88"/>
      <c r="E686" s="88"/>
      <c r="F686" s="88"/>
      <c r="G686" s="88"/>
      <c r="H686" s="89"/>
      <c r="J686" s="88"/>
    </row>
    <row r="687">
      <c r="B687" s="87"/>
      <c r="C687" s="87"/>
      <c r="D687" s="88"/>
      <c r="E687" s="88"/>
      <c r="F687" s="88"/>
      <c r="G687" s="88"/>
      <c r="H687" s="89"/>
      <c r="J687" s="88"/>
    </row>
    <row r="688">
      <c r="B688" s="87"/>
      <c r="C688" s="87"/>
      <c r="D688" s="88"/>
      <c r="E688" s="88"/>
      <c r="F688" s="88"/>
      <c r="G688" s="88"/>
      <c r="H688" s="89"/>
      <c r="J688" s="88"/>
    </row>
    <row r="689">
      <c r="B689" s="87"/>
      <c r="C689" s="87"/>
      <c r="D689" s="88"/>
      <c r="E689" s="88"/>
      <c r="F689" s="88"/>
      <c r="G689" s="88"/>
      <c r="H689" s="89"/>
      <c r="J689" s="88"/>
    </row>
    <row r="690">
      <c r="B690" s="87"/>
      <c r="C690" s="87"/>
      <c r="D690" s="88"/>
      <c r="E690" s="88"/>
      <c r="F690" s="88"/>
      <c r="G690" s="88"/>
      <c r="H690" s="89"/>
      <c r="J690" s="88"/>
    </row>
    <row r="691">
      <c r="B691" s="87"/>
      <c r="C691" s="87"/>
      <c r="D691" s="88"/>
      <c r="E691" s="88"/>
      <c r="F691" s="88"/>
      <c r="G691" s="88"/>
      <c r="H691" s="89"/>
      <c r="J691" s="88"/>
    </row>
    <row r="692">
      <c r="B692" s="87"/>
      <c r="C692" s="87"/>
      <c r="D692" s="88"/>
      <c r="E692" s="88"/>
      <c r="F692" s="88"/>
      <c r="G692" s="88"/>
      <c r="H692" s="89"/>
      <c r="J692" s="88"/>
    </row>
    <row r="693">
      <c r="B693" s="87"/>
      <c r="C693" s="87"/>
      <c r="D693" s="88"/>
      <c r="E693" s="88"/>
      <c r="F693" s="88"/>
      <c r="G693" s="88"/>
      <c r="H693" s="89"/>
      <c r="J693" s="88"/>
    </row>
    <row r="694">
      <c r="B694" s="87"/>
      <c r="C694" s="87"/>
      <c r="D694" s="88"/>
      <c r="E694" s="88"/>
      <c r="F694" s="88"/>
      <c r="G694" s="88"/>
      <c r="H694" s="89"/>
      <c r="J694" s="88"/>
    </row>
    <row r="695">
      <c r="B695" s="87"/>
      <c r="C695" s="87"/>
      <c r="D695" s="88"/>
      <c r="E695" s="88"/>
      <c r="F695" s="88"/>
      <c r="G695" s="88"/>
      <c r="H695" s="89"/>
      <c r="J695" s="88"/>
    </row>
    <row r="696">
      <c r="B696" s="87"/>
      <c r="C696" s="87"/>
      <c r="D696" s="88"/>
      <c r="E696" s="88"/>
      <c r="F696" s="88"/>
      <c r="G696" s="88"/>
      <c r="H696" s="89"/>
      <c r="J696" s="88"/>
    </row>
    <row r="697">
      <c r="B697" s="87"/>
      <c r="C697" s="87"/>
      <c r="D697" s="88"/>
      <c r="E697" s="88"/>
      <c r="F697" s="88"/>
      <c r="G697" s="88"/>
      <c r="H697" s="89"/>
      <c r="J697" s="88"/>
    </row>
    <row r="698">
      <c r="B698" s="87"/>
      <c r="C698" s="87"/>
      <c r="D698" s="88"/>
      <c r="E698" s="88"/>
      <c r="F698" s="88"/>
      <c r="G698" s="88"/>
      <c r="H698" s="89"/>
      <c r="J698" s="88"/>
    </row>
    <row r="699">
      <c r="B699" s="87"/>
      <c r="C699" s="87"/>
      <c r="D699" s="88"/>
      <c r="E699" s="88"/>
      <c r="F699" s="88"/>
      <c r="G699" s="88"/>
      <c r="H699" s="89"/>
      <c r="J699" s="88"/>
    </row>
    <row r="700">
      <c r="B700" s="87"/>
      <c r="C700" s="87"/>
      <c r="D700" s="88"/>
      <c r="E700" s="88"/>
      <c r="F700" s="88"/>
      <c r="G700" s="88"/>
      <c r="H700" s="89"/>
      <c r="J700" s="88"/>
    </row>
    <row r="701">
      <c r="B701" s="87"/>
      <c r="C701" s="87"/>
      <c r="D701" s="88"/>
      <c r="E701" s="88"/>
      <c r="F701" s="88"/>
      <c r="G701" s="88"/>
      <c r="H701" s="89"/>
      <c r="J701" s="88"/>
    </row>
    <row r="702">
      <c r="B702" s="87"/>
      <c r="C702" s="87"/>
      <c r="D702" s="88"/>
      <c r="E702" s="88"/>
      <c r="F702" s="88"/>
      <c r="G702" s="88"/>
      <c r="H702" s="89"/>
      <c r="J702" s="88"/>
    </row>
    <row r="703">
      <c r="B703" s="87"/>
      <c r="C703" s="87"/>
      <c r="D703" s="88"/>
      <c r="E703" s="88"/>
      <c r="F703" s="88"/>
      <c r="G703" s="88"/>
      <c r="H703" s="89"/>
      <c r="J703" s="88"/>
    </row>
    <row r="704">
      <c r="B704" s="87"/>
      <c r="C704" s="87"/>
      <c r="D704" s="88"/>
      <c r="E704" s="88"/>
      <c r="F704" s="88"/>
      <c r="G704" s="88"/>
      <c r="H704" s="89"/>
      <c r="J704" s="88"/>
    </row>
    <row r="705">
      <c r="B705" s="87"/>
      <c r="C705" s="87"/>
      <c r="D705" s="88"/>
      <c r="E705" s="88"/>
      <c r="F705" s="88"/>
      <c r="G705" s="88"/>
      <c r="H705" s="89"/>
      <c r="J705" s="88"/>
    </row>
    <row r="706">
      <c r="B706" s="87"/>
      <c r="C706" s="87"/>
      <c r="D706" s="88"/>
      <c r="E706" s="88"/>
      <c r="F706" s="88"/>
      <c r="G706" s="88"/>
      <c r="H706" s="89"/>
      <c r="J706" s="88"/>
    </row>
    <row r="707">
      <c r="B707" s="87"/>
      <c r="C707" s="87"/>
      <c r="D707" s="88"/>
      <c r="E707" s="88"/>
      <c r="F707" s="88"/>
      <c r="G707" s="88"/>
      <c r="H707" s="89"/>
      <c r="J707" s="88"/>
    </row>
    <row r="708">
      <c r="B708" s="87"/>
      <c r="C708" s="87"/>
      <c r="D708" s="88"/>
      <c r="E708" s="88"/>
      <c r="F708" s="88"/>
      <c r="G708" s="88"/>
      <c r="H708" s="89"/>
      <c r="J708" s="88"/>
    </row>
    <row r="709">
      <c r="B709" s="87"/>
      <c r="C709" s="87"/>
      <c r="D709" s="88"/>
      <c r="E709" s="88"/>
      <c r="F709" s="88"/>
      <c r="G709" s="88"/>
      <c r="H709" s="89"/>
      <c r="J709" s="88"/>
    </row>
    <row r="710">
      <c r="B710" s="87"/>
      <c r="C710" s="87"/>
      <c r="D710" s="88"/>
      <c r="E710" s="88"/>
      <c r="F710" s="88"/>
      <c r="G710" s="88"/>
      <c r="H710" s="89"/>
      <c r="J710" s="88"/>
    </row>
    <row r="711">
      <c r="B711" s="87"/>
      <c r="C711" s="87"/>
      <c r="D711" s="88"/>
      <c r="E711" s="88"/>
      <c r="F711" s="88"/>
      <c r="G711" s="88"/>
      <c r="H711" s="89"/>
      <c r="J711" s="88"/>
    </row>
    <row r="712">
      <c r="B712" s="87"/>
      <c r="C712" s="87"/>
      <c r="D712" s="88"/>
      <c r="E712" s="88"/>
      <c r="F712" s="88"/>
      <c r="G712" s="88"/>
      <c r="H712" s="89"/>
      <c r="J712" s="88"/>
    </row>
    <row r="713">
      <c r="B713" s="87"/>
      <c r="C713" s="87"/>
      <c r="D713" s="88"/>
      <c r="E713" s="88"/>
      <c r="F713" s="88"/>
      <c r="G713" s="88"/>
      <c r="H713" s="89"/>
      <c r="J713" s="88"/>
    </row>
    <row r="714">
      <c r="B714" s="87"/>
      <c r="C714" s="87"/>
      <c r="D714" s="88"/>
      <c r="E714" s="88"/>
      <c r="F714" s="88"/>
      <c r="G714" s="88"/>
      <c r="H714" s="89"/>
      <c r="J714" s="88"/>
    </row>
    <row r="715">
      <c r="B715" s="87"/>
      <c r="C715" s="87"/>
      <c r="D715" s="88"/>
      <c r="E715" s="88"/>
      <c r="F715" s="88"/>
      <c r="G715" s="88"/>
      <c r="H715" s="89"/>
      <c r="J715" s="88"/>
    </row>
    <row r="716">
      <c r="B716" s="87"/>
      <c r="C716" s="87"/>
      <c r="D716" s="88"/>
      <c r="E716" s="88"/>
      <c r="F716" s="88"/>
      <c r="G716" s="88"/>
      <c r="H716" s="89"/>
      <c r="J716" s="88"/>
    </row>
    <row r="717">
      <c r="B717" s="87"/>
      <c r="C717" s="87"/>
      <c r="D717" s="88"/>
      <c r="E717" s="88"/>
      <c r="F717" s="88"/>
      <c r="G717" s="88"/>
      <c r="H717" s="89"/>
      <c r="J717" s="88"/>
    </row>
    <row r="718">
      <c r="B718" s="87"/>
      <c r="C718" s="87"/>
      <c r="D718" s="88"/>
      <c r="E718" s="88"/>
      <c r="F718" s="88"/>
      <c r="G718" s="88"/>
      <c r="H718" s="89"/>
      <c r="J718" s="88"/>
    </row>
    <row r="719">
      <c r="B719" s="87"/>
      <c r="C719" s="87"/>
      <c r="D719" s="88"/>
      <c r="E719" s="88"/>
      <c r="F719" s="88"/>
      <c r="G719" s="88"/>
      <c r="H719" s="89"/>
      <c r="J719" s="88"/>
    </row>
    <row r="720">
      <c r="B720" s="87"/>
      <c r="C720" s="87"/>
      <c r="D720" s="88"/>
      <c r="E720" s="88"/>
      <c r="F720" s="88"/>
      <c r="G720" s="88"/>
      <c r="H720" s="89"/>
      <c r="J720" s="88"/>
    </row>
    <row r="721">
      <c r="B721" s="87"/>
      <c r="C721" s="87"/>
      <c r="D721" s="88"/>
      <c r="E721" s="88"/>
      <c r="F721" s="88"/>
      <c r="G721" s="88"/>
      <c r="H721" s="89"/>
      <c r="J721" s="88"/>
    </row>
    <row r="722">
      <c r="B722" s="87"/>
      <c r="C722" s="87"/>
      <c r="D722" s="88"/>
      <c r="E722" s="88"/>
      <c r="F722" s="88"/>
      <c r="G722" s="88"/>
      <c r="H722" s="89"/>
      <c r="J722" s="88"/>
    </row>
    <row r="723">
      <c r="B723" s="87"/>
      <c r="C723" s="87"/>
      <c r="D723" s="88"/>
      <c r="E723" s="88"/>
      <c r="F723" s="88"/>
      <c r="G723" s="88"/>
      <c r="H723" s="89"/>
      <c r="J723" s="88"/>
    </row>
    <row r="724">
      <c r="B724" s="87"/>
      <c r="C724" s="87"/>
      <c r="D724" s="88"/>
      <c r="E724" s="88"/>
      <c r="F724" s="88"/>
      <c r="G724" s="88"/>
      <c r="H724" s="89"/>
      <c r="J724" s="88"/>
    </row>
    <row r="725">
      <c r="B725" s="87"/>
      <c r="C725" s="87"/>
      <c r="D725" s="88"/>
      <c r="E725" s="88"/>
      <c r="F725" s="88"/>
      <c r="G725" s="88"/>
      <c r="H725" s="89"/>
      <c r="J725" s="88"/>
    </row>
    <row r="726">
      <c r="B726" s="87"/>
      <c r="C726" s="87"/>
      <c r="D726" s="88"/>
      <c r="E726" s="88"/>
      <c r="F726" s="88"/>
      <c r="G726" s="88"/>
      <c r="H726" s="89"/>
      <c r="J726" s="88"/>
    </row>
    <row r="727">
      <c r="B727" s="87"/>
      <c r="C727" s="87"/>
      <c r="D727" s="88"/>
      <c r="E727" s="88"/>
      <c r="F727" s="88"/>
      <c r="G727" s="88"/>
      <c r="H727" s="89"/>
      <c r="J727" s="88"/>
    </row>
    <row r="728">
      <c r="B728" s="87"/>
      <c r="C728" s="87"/>
      <c r="D728" s="88"/>
      <c r="E728" s="88"/>
      <c r="F728" s="88"/>
      <c r="G728" s="88"/>
      <c r="H728" s="89"/>
      <c r="J728" s="88"/>
    </row>
    <row r="729">
      <c r="B729" s="87"/>
      <c r="C729" s="87"/>
      <c r="D729" s="88"/>
      <c r="E729" s="88"/>
      <c r="F729" s="88"/>
      <c r="G729" s="88"/>
      <c r="H729" s="89"/>
      <c r="J729" s="88"/>
    </row>
    <row r="730">
      <c r="B730" s="87"/>
      <c r="C730" s="87"/>
      <c r="D730" s="88"/>
      <c r="E730" s="88"/>
      <c r="F730" s="88"/>
      <c r="G730" s="88"/>
      <c r="H730" s="89"/>
      <c r="J730" s="88"/>
    </row>
    <row r="731">
      <c r="B731" s="87"/>
      <c r="C731" s="87"/>
      <c r="D731" s="88"/>
      <c r="E731" s="88"/>
      <c r="F731" s="88"/>
      <c r="G731" s="88"/>
      <c r="H731" s="89"/>
      <c r="J731" s="88"/>
    </row>
    <row r="732">
      <c r="B732" s="87"/>
      <c r="C732" s="87"/>
      <c r="D732" s="88"/>
      <c r="E732" s="88"/>
      <c r="F732" s="88"/>
      <c r="G732" s="88"/>
      <c r="H732" s="89"/>
      <c r="J732" s="88"/>
    </row>
    <row r="733">
      <c r="B733" s="87"/>
      <c r="C733" s="87"/>
      <c r="D733" s="88"/>
      <c r="E733" s="88"/>
      <c r="F733" s="88"/>
      <c r="G733" s="88"/>
      <c r="H733" s="89"/>
      <c r="J733" s="88"/>
    </row>
    <row r="734">
      <c r="B734" s="87"/>
      <c r="C734" s="87"/>
      <c r="D734" s="88"/>
      <c r="E734" s="88"/>
      <c r="F734" s="88"/>
      <c r="G734" s="88"/>
      <c r="H734" s="89"/>
      <c r="J734" s="88"/>
    </row>
    <row r="735">
      <c r="B735" s="87"/>
      <c r="C735" s="87"/>
      <c r="D735" s="88"/>
      <c r="E735" s="88"/>
      <c r="F735" s="88"/>
      <c r="G735" s="88"/>
      <c r="H735" s="89"/>
      <c r="J735" s="88"/>
    </row>
    <row r="736">
      <c r="B736" s="87"/>
      <c r="C736" s="87"/>
      <c r="D736" s="88"/>
      <c r="E736" s="88"/>
      <c r="F736" s="88"/>
      <c r="G736" s="88"/>
      <c r="H736" s="89"/>
      <c r="J736" s="88"/>
    </row>
    <row r="737">
      <c r="B737" s="87"/>
      <c r="C737" s="87"/>
      <c r="D737" s="88"/>
      <c r="E737" s="88"/>
      <c r="F737" s="88"/>
      <c r="G737" s="88"/>
      <c r="H737" s="89"/>
      <c r="J737" s="88"/>
    </row>
    <row r="738">
      <c r="B738" s="87"/>
      <c r="C738" s="87"/>
      <c r="D738" s="88"/>
      <c r="E738" s="88"/>
      <c r="F738" s="88"/>
      <c r="G738" s="88"/>
      <c r="H738" s="89"/>
      <c r="J738" s="88"/>
    </row>
    <row r="739">
      <c r="B739" s="87"/>
      <c r="C739" s="87"/>
      <c r="D739" s="88"/>
      <c r="E739" s="88"/>
      <c r="F739" s="88"/>
      <c r="G739" s="88"/>
      <c r="H739" s="89"/>
      <c r="J739" s="88"/>
    </row>
    <row r="740">
      <c r="B740" s="87"/>
      <c r="C740" s="87"/>
      <c r="D740" s="88"/>
      <c r="E740" s="88"/>
      <c r="F740" s="88"/>
      <c r="G740" s="88"/>
      <c r="H740" s="89"/>
      <c r="J740" s="88"/>
    </row>
    <row r="741">
      <c r="B741" s="87"/>
      <c r="C741" s="87"/>
      <c r="D741" s="88"/>
      <c r="E741" s="88"/>
      <c r="F741" s="88"/>
      <c r="G741" s="88"/>
      <c r="H741" s="89"/>
      <c r="J741" s="88"/>
    </row>
    <row r="742">
      <c r="B742" s="87"/>
      <c r="C742" s="87"/>
      <c r="D742" s="88"/>
      <c r="E742" s="88"/>
      <c r="F742" s="88"/>
      <c r="G742" s="88"/>
      <c r="H742" s="89"/>
      <c r="J742" s="88"/>
    </row>
    <row r="743">
      <c r="B743" s="87"/>
      <c r="C743" s="87"/>
      <c r="D743" s="88"/>
      <c r="E743" s="88"/>
      <c r="F743" s="88"/>
      <c r="G743" s="88"/>
      <c r="H743" s="89"/>
      <c r="J743" s="88"/>
    </row>
    <row r="744">
      <c r="B744" s="87"/>
      <c r="C744" s="87"/>
      <c r="D744" s="88"/>
      <c r="E744" s="88"/>
      <c r="F744" s="88"/>
      <c r="G744" s="88"/>
      <c r="H744" s="89"/>
      <c r="J744" s="88"/>
    </row>
    <row r="745">
      <c r="B745" s="87"/>
      <c r="C745" s="87"/>
      <c r="D745" s="88"/>
      <c r="E745" s="88"/>
      <c r="F745" s="88"/>
      <c r="G745" s="88"/>
      <c r="H745" s="89"/>
      <c r="J745" s="88"/>
    </row>
    <row r="746">
      <c r="B746" s="87"/>
      <c r="C746" s="87"/>
      <c r="D746" s="88"/>
      <c r="E746" s="88"/>
      <c r="F746" s="88"/>
      <c r="G746" s="88"/>
      <c r="H746" s="89"/>
      <c r="J746" s="88"/>
    </row>
    <row r="747">
      <c r="B747" s="87"/>
      <c r="C747" s="87"/>
      <c r="D747" s="88"/>
      <c r="E747" s="88"/>
      <c r="F747" s="88"/>
      <c r="G747" s="88"/>
      <c r="H747" s="89"/>
      <c r="J747" s="88"/>
    </row>
    <row r="748">
      <c r="B748" s="87"/>
      <c r="C748" s="87"/>
      <c r="D748" s="88"/>
      <c r="E748" s="88"/>
      <c r="F748" s="88"/>
      <c r="G748" s="88"/>
      <c r="H748" s="89"/>
      <c r="J748" s="88"/>
    </row>
    <row r="749">
      <c r="B749" s="87"/>
      <c r="C749" s="87"/>
      <c r="D749" s="88"/>
      <c r="E749" s="88"/>
      <c r="F749" s="88"/>
      <c r="G749" s="88"/>
      <c r="H749" s="89"/>
      <c r="J749" s="88"/>
    </row>
    <row r="750">
      <c r="B750" s="87"/>
      <c r="C750" s="87"/>
      <c r="D750" s="88"/>
      <c r="E750" s="88"/>
      <c r="F750" s="88"/>
      <c r="G750" s="88"/>
      <c r="H750" s="89"/>
      <c r="J750" s="88"/>
    </row>
    <row r="751">
      <c r="B751" s="87"/>
      <c r="C751" s="87"/>
      <c r="D751" s="88"/>
      <c r="E751" s="88"/>
      <c r="F751" s="88"/>
      <c r="G751" s="88"/>
      <c r="H751" s="89"/>
      <c r="J751" s="88"/>
    </row>
    <row r="752">
      <c r="B752" s="87"/>
      <c r="C752" s="87"/>
      <c r="D752" s="88"/>
      <c r="E752" s="88"/>
      <c r="F752" s="88"/>
      <c r="G752" s="88"/>
      <c r="H752" s="89"/>
      <c r="J752" s="88"/>
    </row>
    <row r="753">
      <c r="B753" s="87"/>
      <c r="C753" s="87"/>
      <c r="D753" s="88"/>
      <c r="E753" s="88"/>
      <c r="F753" s="88"/>
      <c r="G753" s="88"/>
      <c r="H753" s="89"/>
      <c r="J753" s="88"/>
    </row>
    <row r="754">
      <c r="B754" s="87"/>
      <c r="C754" s="87"/>
      <c r="D754" s="88"/>
      <c r="E754" s="88"/>
      <c r="F754" s="88"/>
      <c r="G754" s="88"/>
      <c r="H754" s="89"/>
      <c r="J754" s="88"/>
    </row>
    <row r="755">
      <c r="B755" s="87"/>
      <c r="C755" s="87"/>
      <c r="D755" s="88"/>
      <c r="E755" s="88"/>
      <c r="F755" s="88"/>
      <c r="G755" s="88"/>
      <c r="H755" s="89"/>
      <c r="J755" s="88"/>
    </row>
    <row r="756">
      <c r="B756" s="87"/>
      <c r="C756" s="87"/>
      <c r="D756" s="88"/>
      <c r="E756" s="88"/>
      <c r="F756" s="88"/>
      <c r="G756" s="88"/>
      <c r="H756" s="89"/>
      <c r="J756" s="88"/>
    </row>
    <row r="757">
      <c r="B757" s="87"/>
      <c r="C757" s="87"/>
      <c r="D757" s="88"/>
      <c r="E757" s="88"/>
      <c r="F757" s="88"/>
      <c r="G757" s="88"/>
      <c r="H757" s="89"/>
      <c r="J757" s="88"/>
    </row>
    <row r="758">
      <c r="B758" s="87"/>
      <c r="C758" s="87"/>
      <c r="D758" s="88"/>
      <c r="E758" s="88"/>
      <c r="F758" s="88"/>
      <c r="G758" s="88"/>
      <c r="H758" s="89"/>
      <c r="J758" s="88"/>
    </row>
    <row r="759">
      <c r="B759" s="87"/>
      <c r="C759" s="87"/>
      <c r="D759" s="88"/>
      <c r="E759" s="88"/>
      <c r="F759" s="88"/>
      <c r="G759" s="88"/>
      <c r="H759" s="89"/>
      <c r="J759" s="88"/>
    </row>
    <row r="760">
      <c r="B760" s="87"/>
      <c r="C760" s="87"/>
      <c r="D760" s="88"/>
      <c r="E760" s="88"/>
      <c r="F760" s="88"/>
      <c r="G760" s="88"/>
      <c r="H760" s="89"/>
      <c r="J760" s="88"/>
    </row>
    <row r="761">
      <c r="B761" s="87"/>
      <c r="C761" s="87"/>
      <c r="D761" s="88"/>
      <c r="E761" s="88"/>
      <c r="F761" s="88"/>
      <c r="G761" s="88"/>
      <c r="H761" s="89"/>
      <c r="J761" s="88"/>
    </row>
    <row r="762">
      <c r="B762" s="87"/>
      <c r="C762" s="87"/>
      <c r="D762" s="88"/>
      <c r="E762" s="88"/>
      <c r="F762" s="88"/>
      <c r="G762" s="88"/>
      <c r="H762" s="89"/>
      <c r="J762" s="88"/>
    </row>
    <row r="763">
      <c r="B763" s="87"/>
      <c r="C763" s="87"/>
      <c r="D763" s="88"/>
      <c r="E763" s="88"/>
      <c r="F763" s="88"/>
      <c r="G763" s="88"/>
      <c r="H763" s="89"/>
      <c r="J763" s="88"/>
    </row>
    <row r="764">
      <c r="B764" s="87"/>
      <c r="C764" s="87"/>
      <c r="D764" s="88"/>
      <c r="E764" s="88"/>
      <c r="F764" s="88"/>
      <c r="G764" s="88"/>
      <c r="H764" s="89"/>
      <c r="J764" s="88"/>
    </row>
    <row r="765">
      <c r="B765" s="87"/>
      <c r="C765" s="87"/>
      <c r="D765" s="88"/>
      <c r="E765" s="88"/>
      <c r="F765" s="88"/>
      <c r="G765" s="88"/>
      <c r="H765" s="89"/>
      <c r="J765" s="88"/>
    </row>
    <row r="766">
      <c r="B766" s="87"/>
      <c r="C766" s="87"/>
      <c r="D766" s="88"/>
      <c r="E766" s="88"/>
      <c r="F766" s="88"/>
      <c r="G766" s="88"/>
      <c r="H766" s="89"/>
      <c r="J766" s="88"/>
    </row>
    <row r="767">
      <c r="B767" s="87"/>
      <c r="C767" s="87"/>
      <c r="D767" s="88"/>
      <c r="E767" s="88"/>
      <c r="F767" s="88"/>
      <c r="G767" s="88"/>
      <c r="H767" s="89"/>
      <c r="J767" s="88"/>
    </row>
    <row r="768">
      <c r="B768" s="87"/>
      <c r="C768" s="87"/>
      <c r="D768" s="88"/>
      <c r="E768" s="88"/>
      <c r="F768" s="88"/>
      <c r="G768" s="88"/>
      <c r="H768" s="89"/>
      <c r="J768" s="88"/>
    </row>
    <row r="769">
      <c r="B769" s="87"/>
      <c r="C769" s="87"/>
      <c r="D769" s="88"/>
      <c r="E769" s="88"/>
      <c r="F769" s="88"/>
      <c r="G769" s="88"/>
      <c r="H769" s="89"/>
      <c r="J769" s="88"/>
    </row>
    <row r="770">
      <c r="B770" s="87"/>
      <c r="C770" s="87"/>
      <c r="D770" s="88"/>
      <c r="E770" s="88"/>
      <c r="F770" s="88"/>
      <c r="G770" s="88"/>
      <c r="H770" s="89"/>
      <c r="J770" s="88"/>
    </row>
    <row r="771">
      <c r="B771" s="87"/>
      <c r="C771" s="87"/>
      <c r="D771" s="88"/>
      <c r="E771" s="88"/>
      <c r="F771" s="88"/>
      <c r="G771" s="88"/>
      <c r="H771" s="89"/>
      <c r="J771" s="88"/>
    </row>
    <row r="772">
      <c r="B772" s="87"/>
      <c r="C772" s="87"/>
      <c r="D772" s="88"/>
      <c r="E772" s="88"/>
      <c r="F772" s="88"/>
      <c r="G772" s="88"/>
      <c r="H772" s="89"/>
      <c r="J772" s="88"/>
    </row>
    <row r="773">
      <c r="B773" s="87"/>
      <c r="C773" s="87"/>
      <c r="D773" s="88"/>
      <c r="E773" s="88"/>
      <c r="F773" s="88"/>
      <c r="G773" s="88"/>
      <c r="H773" s="89"/>
      <c r="J773" s="88"/>
    </row>
    <row r="774">
      <c r="B774" s="87"/>
      <c r="C774" s="87"/>
      <c r="D774" s="88"/>
      <c r="E774" s="88"/>
      <c r="F774" s="88"/>
      <c r="G774" s="88"/>
      <c r="H774" s="89"/>
      <c r="J774" s="88"/>
    </row>
    <row r="775">
      <c r="B775" s="87"/>
      <c r="C775" s="87"/>
      <c r="D775" s="88"/>
      <c r="E775" s="88"/>
      <c r="F775" s="88"/>
      <c r="G775" s="88"/>
      <c r="H775" s="89"/>
      <c r="J775" s="88"/>
    </row>
    <row r="776">
      <c r="B776" s="87"/>
      <c r="C776" s="87"/>
      <c r="D776" s="88"/>
      <c r="E776" s="88"/>
      <c r="F776" s="88"/>
      <c r="G776" s="88"/>
      <c r="H776" s="89"/>
      <c r="J776" s="88"/>
    </row>
    <row r="777">
      <c r="B777" s="87"/>
      <c r="C777" s="87"/>
      <c r="D777" s="88"/>
      <c r="E777" s="88"/>
      <c r="F777" s="88"/>
      <c r="G777" s="88"/>
      <c r="H777" s="89"/>
      <c r="J777" s="88"/>
    </row>
    <row r="778">
      <c r="B778" s="87"/>
      <c r="C778" s="87"/>
      <c r="D778" s="88"/>
      <c r="E778" s="88"/>
      <c r="F778" s="88"/>
      <c r="G778" s="88"/>
      <c r="H778" s="89"/>
      <c r="J778" s="88"/>
    </row>
    <row r="779">
      <c r="B779" s="87"/>
      <c r="C779" s="87"/>
      <c r="D779" s="88"/>
      <c r="E779" s="88"/>
      <c r="F779" s="88"/>
      <c r="G779" s="88"/>
      <c r="H779" s="89"/>
      <c r="J779" s="88"/>
    </row>
    <row r="780">
      <c r="B780" s="87"/>
      <c r="C780" s="87"/>
      <c r="D780" s="88"/>
      <c r="E780" s="88"/>
      <c r="F780" s="88"/>
      <c r="G780" s="88"/>
      <c r="H780" s="89"/>
      <c r="J780" s="88"/>
    </row>
    <row r="781">
      <c r="B781" s="87"/>
      <c r="C781" s="87"/>
      <c r="D781" s="88"/>
      <c r="E781" s="88"/>
      <c r="F781" s="88"/>
      <c r="G781" s="88"/>
      <c r="H781" s="89"/>
      <c r="J781" s="88"/>
    </row>
    <row r="782">
      <c r="B782" s="87"/>
      <c r="C782" s="87"/>
      <c r="D782" s="88"/>
      <c r="E782" s="88"/>
      <c r="F782" s="88"/>
      <c r="G782" s="88"/>
      <c r="H782" s="89"/>
      <c r="J782" s="88"/>
    </row>
    <row r="783">
      <c r="B783" s="87"/>
      <c r="C783" s="87"/>
      <c r="D783" s="88"/>
      <c r="E783" s="88"/>
      <c r="F783" s="88"/>
      <c r="G783" s="88"/>
      <c r="H783" s="89"/>
      <c r="J783" s="88"/>
    </row>
    <row r="784">
      <c r="B784" s="87"/>
      <c r="C784" s="87"/>
      <c r="D784" s="88"/>
      <c r="E784" s="88"/>
      <c r="F784" s="88"/>
      <c r="G784" s="88"/>
      <c r="H784" s="89"/>
      <c r="J784" s="88"/>
    </row>
    <row r="785">
      <c r="B785" s="87"/>
      <c r="C785" s="87"/>
      <c r="D785" s="88"/>
      <c r="E785" s="88"/>
      <c r="F785" s="88"/>
      <c r="G785" s="88"/>
      <c r="H785" s="89"/>
      <c r="J785" s="88"/>
    </row>
    <row r="786">
      <c r="B786" s="87"/>
      <c r="C786" s="87"/>
      <c r="D786" s="88"/>
      <c r="E786" s="88"/>
      <c r="F786" s="88"/>
      <c r="G786" s="88"/>
      <c r="H786" s="89"/>
      <c r="J786" s="88"/>
    </row>
    <row r="787">
      <c r="B787" s="87"/>
      <c r="C787" s="87"/>
      <c r="D787" s="88"/>
      <c r="E787" s="88"/>
      <c r="F787" s="88"/>
      <c r="G787" s="88"/>
      <c r="H787" s="89"/>
      <c r="J787" s="88"/>
    </row>
    <row r="788">
      <c r="B788" s="87"/>
      <c r="C788" s="87"/>
      <c r="D788" s="88"/>
      <c r="E788" s="88"/>
      <c r="F788" s="88"/>
      <c r="G788" s="88"/>
      <c r="H788" s="89"/>
      <c r="J788" s="88"/>
    </row>
    <row r="789">
      <c r="B789" s="87"/>
      <c r="C789" s="87"/>
      <c r="D789" s="88"/>
      <c r="E789" s="88"/>
      <c r="F789" s="88"/>
      <c r="G789" s="88"/>
      <c r="H789" s="89"/>
      <c r="J789" s="88"/>
    </row>
    <row r="790">
      <c r="B790" s="87"/>
      <c r="C790" s="87"/>
      <c r="D790" s="88"/>
      <c r="E790" s="88"/>
      <c r="F790" s="88"/>
      <c r="G790" s="88"/>
      <c r="H790" s="89"/>
      <c r="J790" s="88"/>
    </row>
    <row r="791">
      <c r="B791" s="87"/>
      <c r="C791" s="87"/>
      <c r="D791" s="88"/>
      <c r="E791" s="88"/>
      <c r="F791" s="88"/>
      <c r="G791" s="88"/>
      <c r="H791" s="89"/>
      <c r="J791" s="88"/>
    </row>
    <row r="792">
      <c r="B792" s="87"/>
      <c r="C792" s="87"/>
      <c r="D792" s="88"/>
      <c r="E792" s="88"/>
      <c r="F792" s="88"/>
      <c r="G792" s="88"/>
      <c r="H792" s="89"/>
      <c r="J792" s="88"/>
    </row>
    <row r="793">
      <c r="B793" s="87"/>
      <c r="C793" s="87"/>
      <c r="D793" s="88"/>
      <c r="E793" s="88"/>
      <c r="F793" s="88"/>
      <c r="G793" s="88"/>
      <c r="H793" s="89"/>
      <c r="J793" s="88"/>
    </row>
    <row r="794">
      <c r="B794" s="87"/>
      <c r="C794" s="87"/>
      <c r="D794" s="88"/>
      <c r="E794" s="88"/>
      <c r="F794" s="88"/>
      <c r="G794" s="88"/>
      <c r="H794" s="89"/>
      <c r="J794" s="88"/>
    </row>
    <row r="795">
      <c r="B795" s="87"/>
      <c r="C795" s="87"/>
      <c r="D795" s="88"/>
      <c r="E795" s="88"/>
      <c r="F795" s="88"/>
      <c r="G795" s="88"/>
      <c r="H795" s="89"/>
      <c r="J795" s="88"/>
    </row>
    <row r="796">
      <c r="B796" s="87"/>
      <c r="C796" s="87"/>
      <c r="D796" s="88"/>
      <c r="E796" s="88"/>
      <c r="F796" s="88"/>
      <c r="G796" s="88"/>
      <c r="H796" s="89"/>
      <c r="J796" s="88"/>
    </row>
    <row r="797">
      <c r="B797" s="87"/>
      <c r="C797" s="87"/>
      <c r="D797" s="88"/>
      <c r="E797" s="88"/>
      <c r="F797" s="88"/>
      <c r="G797" s="88"/>
      <c r="H797" s="89"/>
      <c r="J797" s="88"/>
    </row>
    <row r="798">
      <c r="B798" s="87"/>
      <c r="C798" s="87"/>
      <c r="D798" s="88"/>
      <c r="E798" s="88"/>
      <c r="F798" s="88"/>
      <c r="G798" s="88"/>
      <c r="H798" s="89"/>
      <c r="J798" s="88"/>
    </row>
    <row r="799">
      <c r="B799" s="87"/>
      <c r="C799" s="87"/>
      <c r="D799" s="88"/>
      <c r="E799" s="88"/>
      <c r="F799" s="88"/>
      <c r="G799" s="88"/>
      <c r="H799" s="89"/>
      <c r="J799" s="88"/>
    </row>
    <row r="800">
      <c r="B800" s="87"/>
      <c r="C800" s="87"/>
      <c r="D800" s="88"/>
      <c r="E800" s="88"/>
      <c r="F800" s="88"/>
      <c r="G800" s="88"/>
      <c r="H800" s="89"/>
      <c r="J800" s="88"/>
    </row>
    <row r="801">
      <c r="B801" s="87"/>
      <c r="C801" s="87"/>
      <c r="D801" s="88"/>
      <c r="E801" s="88"/>
      <c r="F801" s="88"/>
      <c r="G801" s="88"/>
      <c r="H801" s="89"/>
      <c r="J801" s="88"/>
    </row>
    <row r="802">
      <c r="B802" s="87"/>
      <c r="C802" s="87"/>
      <c r="D802" s="88"/>
      <c r="E802" s="88"/>
      <c r="F802" s="88"/>
      <c r="G802" s="88"/>
      <c r="H802" s="89"/>
      <c r="J802" s="88"/>
    </row>
    <row r="803">
      <c r="B803" s="87"/>
      <c r="C803" s="87"/>
      <c r="D803" s="88"/>
      <c r="E803" s="88"/>
      <c r="F803" s="88"/>
      <c r="G803" s="88"/>
      <c r="H803" s="89"/>
      <c r="J803" s="88"/>
    </row>
    <row r="804">
      <c r="B804" s="87"/>
      <c r="C804" s="87"/>
      <c r="D804" s="88"/>
      <c r="E804" s="88"/>
      <c r="F804" s="88"/>
      <c r="G804" s="88"/>
      <c r="H804" s="89"/>
      <c r="J804" s="88"/>
    </row>
    <row r="805">
      <c r="B805" s="87"/>
      <c r="C805" s="87"/>
      <c r="D805" s="88"/>
      <c r="E805" s="88"/>
      <c r="F805" s="88"/>
      <c r="G805" s="88"/>
      <c r="H805" s="89"/>
      <c r="J805" s="88"/>
    </row>
    <row r="806">
      <c r="B806" s="87"/>
      <c r="C806" s="87"/>
      <c r="D806" s="88"/>
      <c r="E806" s="88"/>
      <c r="F806" s="88"/>
      <c r="G806" s="88"/>
      <c r="H806" s="89"/>
      <c r="J806" s="88"/>
    </row>
    <row r="807">
      <c r="B807" s="87"/>
      <c r="C807" s="87"/>
      <c r="D807" s="88"/>
      <c r="E807" s="88"/>
      <c r="F807" s="88"/>
      <c r="G807" s="88"/>
      <c r="H807" s="89"/>
      <c r="J807" s="88"/>
    </row>
    <row r="808">
      <c r="B808" s="87"/>
      <c r="C808" s="87"/>
      <c r="D808" s="88"/>
      <c r="E808" s="88"/>
      <c r="F808" s="88"/>
      <c r="G808" s="88"/>
      <c r="H808" s="89"/>
      <c r="J808" s="88"/>
    </row>
    <row r="809">
      <c r="B809" s="87"/>
      <c r="C809" s="87"/>
      <c r="D809" s="88"/>
      <c r="E809" s="88"/>
      <c r="F809" s="88"/>
      <c r="G809" s="88"/>
      <c r="H809" s="89"/>
      <c r="J809" s="88"/>
    </row>
    <row r="810">
      <c r="B810" s="87"/>
      <c r="C810" s="87"/>
      <c r="D810" s="88"/>
      <c r="E810" s="88"/>
      <c r="F810" s="88"/>
      <c r="G810" s="88"/>
      <c r="H810" s="89"/>
      <c r="J810" s="88"/>
    </row>
    <row r="811">
      <c r="B811" s="87"/>
      <c r="C811" s="87"/>
      <c r="D811" s="88"/>
      <c r="E811" s="88"/>
      <c r="F811" s="88"/>
      <c r="G811" s="88"/>
      <c r="H811" s="89"/>
      <c r="J811" s="88"/>
    </row>
    <row r="812">
      <c r="B812" s="87"/>
      <c r="C812" s="87"/>
      <c r="D812" s="88"/>
      <c r="E812" s="88"/>
      <c r="F812" s="88"/>
      <c r="G812" s="88"/>
      <c r="H812" s="89"/>
      <c r="J812" s="88"/>
    </row>
    <row r="813">
      <c r="B813" s="87"/>
      <c r="C813" s="87"/>
      <c r="D813" s="88"/>
      <c r="E813" s="88"/>
      <c r="F813" s="88"/>
      <c r="G813" s="88"/>
      <c r="H813" s="89"/>
      <c r="J813" s="88"/>
    </row>
    <row r="814">
      <c r="B814" s="87"/>
      <c r="C814" s="87"/>
      <c r="D814" s="88"/>
      <c r="E814" s="88"/>
      <c r="F814" s="88"/>
      <c r="G814" s="88"/>
      <c r="H814" s="89"/>
      <c r="J814" s="88"/>
    </row>
    <row r="815">
      <c r="B815" s="87"/>
      <c r="C815" s="87"/>
      <c r="D815" s="88"/>
      <c r="E815" s="88"/>
      <c r="F815" s="88"/>
      <c r="G815" s="88"/>
      <c r="H815" s="89"/>
      <c r="J815" s="88"/>
    </row>
    <row r="816">
      <c r="B816" s="87"/>
      <c r="C816" s="87"/>
      <c r="D816" s="88"/>
      <c r="E816" s="88"/>
      <c r="F816" s="88"/>
      <c r="G816" s="88"/>
      <c r="H816" s="89"/>
      <c r="J816" s="88"/>
    </row>
    <row r="817">
      <c r="B817" s="87"/>
      <c r="C817" s="87"/>
      <c r="D817" s="88"/>
      <c r="E817" s="88"/>
      <c r="F817" s="88"/>
      <c r="G817" s="88"/>
      <c r="H817" s="89"/>
      <c r="J817" s="88"/>
    </row>
    <row r="818">
      <c r="B818" s="87"/>
      <c r="C818" s="87"/>
      <c r="D818" s="88"/>
      <c r="E818" s="88"/>
      <c r="F818" s="88"/>
      <c r="G818" s="88"/>
      <c r="H818" s="89"/>
      <c r="J818" s="88"/>
    </row>
    <row r="819">
      <c r="B819" s="87"/>
      <c r="C819" s="87"/>
      <c r="D819" s="88"/>
      <c r="E819" s="88"/>
      <c r="F819" s="88"/>
      <c r="G819" s="88"/>
      <c r="H819" s="89"/>
      <c r="J819" s="88"/>
    </row>
    <row r="820">
      <c r="B820" s="87"/>
      <c r="C820" s="87"/>
      <c r="D820" s="88"/>
      <c r="E820" s="88"/>
      <c r="F820" s="88"/>
      <c r="G820" s="88"/>
      <c r="H820" s="89"/>
      <c r="J820" s="88"/>
    </row>
    <row r="821">
      <c r="B821" s="87"/>
      <c r="C821" s="87"/>
      <c r="D821" s="88"/>
      <c r="E821" s="88"/>
      <c r="F821" s="88"/>
      <c r="G821" s="88"/>
      <c r="H821" s="89"/>
      <c r="J821" s="88"/>
    </row>
    <row r="822">
      <c r="B822" s="87"/>
      <c r="C822" s="87"/>
      <c r="D822" s="88"/>
      <c r="E822" s="88"/>
      <c r="F822" s="88"/>
      <c r="G822" s="88"/>
      <c r="H822" s="89"/>
      <c r="J822" s="88"/>
    </row>
    <row r="823">
      <c r="B823" s="87"/>
      <c r="C823" s="87"/>
      <c r="D823" s="88"/>
      <c r="E823" s="88"/>
      <c r="F823" s="88"/>
      <c r="G823" s="88"/>
      <c r="H823" s="89"/>
      <c r="J823" s="88"/>
    </row>
    <row r="824">
      <c r="B824" s="87"/>
      <c r="C824" s="87"/>
      <c r="D824" s="88"/>
      <c r="E824" s="88"/>
      <c r="F824" s="88"/>
      <c r="G824" s="88"/>
      <c r="H824" s="89"/>
      <c r="J824" s="88"/>
    </row>
    <row r="825">
      <c r="B825" s="87"/>
      <c r="C825" s="87"/>
      <c r="D825" s="88"/>
      <c r="E825" s="88"/>
      <c r="F825" s="88"/>
      <c r="G825" s="88"/>
      <c r="H825" s="89"/>
      <c r="J825" s="88"/>
    </row>
    <row r="826">
      <c r="B826" s="87"/>
      <c r="C826" s="87"/>
      <c r="D826" s="88"/>
      <c r="E826" s="88"/>
      <c r="F826" s="88"/>
      <c r="G826" s="88"/>
      <c r="H826" s="89"/>
      <c r="J826" s="88"/>
    </row>
    <row r="827">
      <c r="B827" s="87"/>
      <c r="C827" s="87"/>
      <c r="D827" s="88"/>
      <c r="E827" s="88"/>
      <c r="F827" s="88"/>
      <c r="G827" s="88"/>
      <c r="H827" s="89"/>
      <c r="J827" s="88"/>
    </row>
    <row r="828">
      <c r="B828" s="87"/>
      <c r="C828" s="87"/>
      <c r="D828" s="88"/>
      <c r="E828" s="88"/>
      <c r="F828" s="88"/>
      <c r="G828" s="88"/>
      <c r="H828" s="89"/>
      <c r="J828" s="88"/>
    </row>
    <row r="829">
      <c r="B829" s="87"/>
      <c r="C829" s="87"/>
      <c r="D829" s="88"/>
      <c r="E829" s="88"/>
      <c r="F829" s="88"/>
      <c r="G829" s="88"/>
      <c r="H829" s="89"/>
      <c r="J829" s="88"/>
    </row>
    <row r="830">
      <c r="B830" s="87"/>
      <c r="C830" s="87"/>
      <c r="D830" s="88"/>
      <c r="E830" s="88"/>
      <c r="F830" s="88"/>
      <c r="G830" s="88"/>
      <c r="H830" s="89"/>
      <c r="J830" s="88"/>
    </row>
    <row r="831">
      <c r="B831" s="87"/>
      <c r="C831" s="87"/>
      <c r="D831" s="88"/>
      <c r="E831" s="88"/>
      <c r="F831" s="88"/>
      <c r="G831" s="88"/>
      <c r="H831" s="89"/>
      <c r="J831" s="88"/>
    </row>
    <row r="832">
      <c r="B832" s="87"/>
      <c r="C832" s="87"/>
      <c r="D832" s="88"/>
      <c r="E832" s="88"/>
      <c r="F832" s="88"/>
      <c r="G832" s="88"/>
      <c r="H832" s="89"/>
      <c r="J832" s="88"/>
    </row>
    <row r="833">
      <c r="B833" s="87"/>
      <c r="C833" s="87"/>
      <c r="D833" s="88"/>
      <c r="E833" s="88"/>
      <c r="F833" s="88"/>
      <c r="G833" s="88"/>
      <c r="H833" s="89"/>
      <c r="J833" s="88"/>
    </row>
    <row r="834">
      <c r="B834" s="87"/>
      <c r="C834" s="87"/>
      <c r="D834" s="88"/>
      <c r="E834" s="88"/>
      <c r="F834" s="88"/>
      <c r="G834" s="88"/>
      <c r="H834" s="89"/>
      <c r="J834" s="88"/>
    </row>
    <row r="835">
      <c r="B835" s="87"/>
      <c r="C835" s="87"/>
      <c r="D835" s="88"/>
      <c r="E835" s="88"/>
      <c r="F835" s="88"/>
      <c r="G835" s="88"/>
      <c r="H835" s="89"/>
      <c r="J835" s="88"/>
    </row>
    <row r="836">
      <c r="B836" s="87"/>
      <c r="C836" s="87"/>
      <c r="D836" s="88"/>
      <c r="E836" s="88"/>
      <c r="F836" s="88"/>
      <c r="G836" s="88"/>
      <c r="H836" s="89"/>
      <c r="J836" s="88"/>
    </row>
    <row r="837">
      <c r="B837" s="87"/>
      <c r="C837" s="87"/>
      <c r="D837" s="88"/>
      <c r="E837" s="88"/>
      <c r="F837" s="88"/>
      <c r="G837" s="88"/>
      <c r="H837" s="89"/>
      <c r="J837" s="88"/>
    </row>
    <row r="838">
      <c r="B838" s="87"/>
      <c r="C838" s="87"/>
      <c r="D838" s="88"/>
      <c r="E838" s="88"/>
      <c r="F838" s="88"/>
      <c r="G838" s="88"/>
      <c r="H838" s="89"/>
      <c r="J838" s="88"/>
    </row>
    <row r="839">
      <c r="B839" s="87"/>
      <c r="C839" s="87"/>
      <c r="D839" s="88"/>
      <c r="E839" s="88"/>
      <c r="F839" s="88"/>
      <c r="G839" s="88"/>
      <c r="H839" s="89"/>
      <c r="J839" s="88"/>
    </row>
    <row r="840">
      <c r="B840" s="87"/>
      <c r="C840" s="87"/>
      <c r="D840" s="88"/>
      <c r="E840" s="88"/>
      <c r="F840" s="88"/>
      <c r="G840" s="88"/>
      <c r="H840" s="89"/>
      <c r="J840" s="88"/>
    </row>
    <row r="841">
      <c r="B841" s="87"/>
      <c r="C841" s="87"/>
      <c r="D841" s="88"/>
      <c r="E841" s="88"/>
      <c r="F841" s="88"/>
      <c r="G841" s="88"/>
      <c r="H841" s="89"/>
      <c r="J841" s="88"/>
    </row>
    <row r="842">
      <c r="B842" s="87"/>
      <c r="C842" s="87"/>
      <c r="D842" s="88"/>
      <c r="E842" s="88"/>
      <c r="F842" s="88"/>
      <c r="G842" s="88"/>
      <c r="H842" s="89"/>
      <c r="J842" s="88"/>
    </row>
    <row r="843">
      <c r="B843" s="87"/>
      <c r="C843" s="87"/>
      <c r="D843" s="88"/>
      <c r="E843" s="88"/>
      <c r="F843" s="88"/>
      <c r="G843" s="88"/>
      <c r="H843" s="89"/>
      <c r="J843" s="88"/>
    </row>
    <row r="844">
      <c r="B844" s="87"/>
      <c r="C844" s="87"/>
      <c r="D844" s="88"/>
      <c r="E844" s="88"/>
      <c r="F844" s="88"/>
      <c r="G844" s="88"/>
      <c r="H844" s="89"/>
      <c r="J844" s="88"/>
    </row>
    <row r="845">
      <c r="B845" s="87"/>
      <c r="C845" s="87"/>
      <c r="D845" s="88"/>
      <c r="E845" s="88"/>
      <c r="F845" s="88"/>
      <c r="G845" s="88"/>
      <c r="H845" s="89"/>
      <c r="J845" s="88"/>
    </row>
    <row r="846">
      <c r="B846" s="87"/>
      <c r="C846" s="87"/>
      <c r="D846" s="88"/>
      <c r="E846" s="88"/>
      <c r="F846" s="88"/>
      <c r="G846" s="88"/>
      <c r="H846" s="89"/>
      <c r="J846" s="88"/>
    </row>
    <row r="847">
      <c r="B847" s="87"/>
      <c r="C847" s="87"/>
      <c r="D847" s="88"/>
      <c r="E847" s="88"/>
      <c r="F847" s="88"/>
      <c r="G847" s="88"/>
      <c r="H847" s="89"/>
      <c r="J847" s="88"/>
    </row>
    <row r="848">
      <c r="B848" s="87"/>
      <c r="C848" s="87"/>
      <c r="D848" s="88"/>
      <c r="E848" s="88"/>
      <c r="F848" s="88"/>
      <c r="G848" s="88"/>
      <c r="H848" s="89"/>
      <c r="J848" s="88"/>
    </row>
    <row r="849">
      <c r="B849" s="87"/>
      <c r="C849" s="87"/>
      <c r="D849" s="88"/>
      <c r="E849" s="88"/>
      <c r="F849" s="88"/>
      <c r="G849" s="88"/>
      <c r="H849" s="89"/>
      <c r="J849" s="88"/>
    </row>
    <row r="850">
      <c r="B850" s="87"/>
      <c r="C850" s="87"/>
      <c r="D850" s="88"/>
      <c r="E850" s="88"/>
      <c r="F850" s="88"/>
      <c r="G850" s="88"/>
      <c r="H850" s="89"/>
      <c r="J850" s="88"/>
    </row>
    <row r="851">
      <c r="B851" s="87"/>
      <c r="C851" s="87"/>
      <c r="D851" s="88"/>
      <c r="E851" s="88"/>
      <c r="F851" s="88"/>
      <c r="G851" s="88"/>
      <c r="H851" s="89"/>
      <c r="J851" s="88"/>
    </row>
    <row r="852">
      <c r="B852" s="87"/>
      <c r="C852" s="87"/>
      <c r="D852" s="88"/>
      <c r="E852" s="88"/>
      <c r="F852" s="88"/>
      <c r="G852" s="88"/>
      <c r="H852" s="89"/>
      <c r="J852" s="88"/>
    </row>
    <row r="853">
      <c r="B853" s="87"/>
      <c r="C853" s="87"/>
      <c r="D853" s="88"/>
      <c r="E853" s="88"/>
      <c r="F853" s="88"/>
      <c r="G853" s="88"/>
      <c r="H853" s="89"/>
      <c r="J853" s="88"/>
    </row>
    <row r="854">
      <c r="B854" s="87"/>
      <c r="C854" s="87"/>
      <c r="D854" s="88"/>
      <c r="E854" s="88"/>
      <c r="F854" s="88"/>
      <c r="G854" s="88"/>
      <c r="H854" s="89"/>
      <c r="J854" s="88"/>
    </row>
    <row r="855">
      <c r="B855" s="87"/>
      <c r="C855" s="87"/>
      <c r="D855" s="88"/>
      <c r="E855" s="88"/>
      <c r="F855" s="88"/>
      <c r="G855" s="88"/>
      <c r="H855" s="89"/>
      <c r="J855" s="88"/>
    </row>
    <row r="856">
      <c r="B856" s="87"/>
      <c r="C856" s="87"/>
      <c r="D856" s="88"/>
      <c r="E856" s="88"/>
      <c r="F856" s="88"/>
      <c r="G856" s="88"/>
      <c r="H856" s="89"/>
      <c r="J856" s="88"/>
    </row>
    <row r="857">
      <c r="B857" s="87"/>
      <c r="C857" s="87"/>
      <c r="D857" s="88"/>
      <c r="E857" s="88"/>
      <c r="F857" s="88"/>
      <c r="G857" s="88"/>
      <c r="H857" s="89"/>
      <c r="J857" s="88"/>
    </row>
    <row r="858">
      <c r="B858" s="87"/>
      <c r="C858" s="87"/>
      <c r="D858" s="88"/>
      <c r="E858" s="88"/>
      <c r="F858" s="88"/>
      <c r="G858" s="88"/>
      <c r="H858" s="89"/>
      <c r="J858" s="88"/>
    </row>
    <row r="859">
      <c r="B859" s="87"/>
      <c r="C859" s="87"/>
      <c r="D859" s="88"/>
      <c r="E859" s="88"/>
      <c r="F859" s="88"/>
      <c r="G859" s="88"/>
      <c r="H859" s="89"/>
      <c r="J859" s="88"/>
    </row>
    <row r="860">
      <c r="B860" s="87"/>
      <c r="C860" s="87"/>
      <c r="D860" s="88"/>
      <c r="E860" s="88"/>
      <c r="F860" s="88"/>
      <c r="G860" s="88"/>
      <c r="H860" s="89"/>
      <c r="J860" s="88"/>
    </row>
    <row r="861">
      <c r="B861" s="87"/>
      <c r="C861" s="87"/>
      <c r="D861" s="88"/>
      <c r="E861" s="88"/>
      <c r="F861" s="88"/>
      <c r="G861" s="88"/>
      <c r="H861" s="89"/>
      <c r="J861" s="88"/>
    </row>
    <row r="862">
      <c r="B862" s="87"/>
      <c r="C862" s="87"/>
      <c r="D862" s="88"/>
      <c r="E862" s="88"/>
      <c r="F862" s="88"/>
      <c r="G862" s="88"/>
      <c r="H862" s="89"/>
      <c r="J862" s="88"/>
    </row>
    <row r="863">
      <c r="B863" s="87"/>
      <c r="C863" s="87"/>
      <c r="D863" s="88"/>
      <c r="E863" s="88"/>
      <c r="F863" s="88"/>
      <c r="G863" s="88"/>
      <c r="H863" s="89"/>
      <c r="J863" s="88"/>
    </row>
    <row r="864">
      <c r="B864" s="87"/>
      <c r="C864" s="87"/>
      <c r="D864" s="88"/>
      <c r="E864" s="88"/>
      <c r="F864" s="88"/>
      <c r="G864" s="88"/>
      <c r="H864" s="89"/>
      <c r="J864" s="88"/>
    </row>
    <row r="865">
      <c r="B865" s="87"/>
      <c r="C865" s="87"/>
      <c r="D865" s="88"/>
      <c r="E865" s="88"/>
      <c r="F865" s="88"/>
      <c r="G865" s="88"/>
      <c r="H865" s="89"/>
      <c r="J865" s="88"/>
    </row>
    <row r="866">
      <c r="B866" s="87"/>
      <c r="C866" s="87"/>
      <c r="D866" s="88"/>
      <c r="E866" s="88"/>
      <c r="F866" s="88"/>
      <c r="G866" s="88"/>
      <c r="H866" s="89"/>
      <c r="J866" s="88"/>
    </row>
    <row r="867">
      <c r="B867" s="87"/>
      <c r="C867" s="87"/>
      <c r="D867" s="88"/>
      <c r="E867" s="88"/>
      <c r="F867" s="88"/>
      <c r="G867" s="88"/>
      <c r="H867" s="89"/>
      <c r="J867" s="88"/>
    </row>
    <row r="868">
      <c r="B868" s="87"/>
      <c r="C868" s="87"/>
      <c r="D868" s="88"/>
      <c r="E868" s="88"/>
      <c r="F868" s="88"/>
      <c r="G868" s="88"/>
      <c r="H868" s="89"/>
      <c r="J868" s="88"/>
    </row>
    <row r="869">
      <c r="B869" s="87"/>
      <c r="C869" s="87"/>
      <c r="D869" s="88"/>
      <c r="E869" s="88"/>
      <c r="F869" s="88"/>
      <c r="G869" s="88"/>
      <c r="H869" s="89"/>
      <c r="J869" s="88"/>
    </row>
    <row r="870">
      <c r="B870" s="87"/>
      <c r="C870" s="87"/>
      <c r="D870" s="88"/>
      <c r="E870" s="88"/>
      <c r="F870" s="88"/>
      <c r="G870" s="88"/>
      <c r="H870" s="89"/>
      <c r="J870" s="88"/>
    </row>
    <row r="871">
      <c r="B871" s="87"/>
      <c r="C871" s="87"/>
      <c r="D871" s="88"/>
      <c r="E871" s="88"/>
      <c r="F871" s="88"/>
      <c r="G871" s="88"/>
      <c r="H871" s="89"/>
      <c r="J871" s="88"/>
    </row>
    <row r="872">
      <c r="B872" s="87"/>
      <c r="C872" s="87"/>
      <c r="D872" s="88"/>
      <c r="E872" s="88"/>
      <c r="F872" s="88"/>
      <c r="G872" s="88"/>
      <c r="H872" s="89"/>
      <c r="J872" s="88"/>
    </row>
    <row r="873">
      <c r="B873" s="87"/>
      <c r="C873" s="87"/>
      <c r="D873" s="88"/>
      <c r="E873" s="88"/>
      <c r="F873" s="88"/>
      <c r="G873" s="88"/>
      <c r="H873" s="89"/>
      <c r="J873" s="88"/>
    </row>
    <row r="874">
      <c r="B874" s="87"/>
      <c r="C874" s="87"/>
      <c r="D874" s="88"/>
      <c r="E874" s="88"/>
      <c r="F874" s="88"/>
      <c r="G874" s="88"/>
      <c r="H874" s="89"/>
      <c r="J874" s="88"/>
    </row>
    <row r="875">
      <c r="B875" s="87"/>
      <c r="C875" s="87"/>
      <c r="D875" s="88"/>
      <c r="E875" s="88"/>
      <c r="F875" s="88"/>
      <c r="G875" s="88"/>
      <c r="H875" s="89"/>
      <c r="J875" s="88"/>
    </row>
    <row r="876">
      <c r="B876" s="87"/>
      <c r="C876" s="87"/>
      <c r="D876" s="88"/>
      <c r="E876" s="88"/>
      <c r="F876" s="88"/>
      <c r="G876" s="88"/>
      <c r="H876" s="89"/>
      <c r="J876" s="88"/>
    </row>
    <row r="877">
      <c r="B877" s="87"/>
      <c r="C877" s="87"/>
      <c r="D877" s="88"/>
      <c r="E877" s="88"/>
      <c r="F877" s="88"/>
      <c r="G877" s="88"/>
      <c r="H877" s="89"/>
      <c r="J877" s="88"/>
    </row>
    <row r="878">
      <c r="B878" s="87"/>
      <c r="C878" s="87"/>
      <c r="D878" s="88"/>
      <c r="E878" s="88"/>
      <c r="F878" s="88"/>
      <c r="G878" s="88"/>
      <c r="H878" s="89"/>
      <c r="J878" s="88"/>
    </row>
    <row r="879">
      <c r="B879" s="87"/>
      <c r="C879" s="87"/>
      <c r="D879" s="88"/>
      <c r="E879" s="88"/>
      <c r="F879" s="88"/>
      <c r="G879" s="88"/>
      <c r="H879" s="89"/>
      <c r="J879" s="88"/>
    </row>
    <row r="880">
      <c r="B880" s="87"/>
      <c r="C880" s="87"/>
      <c r="D880" s="88"/>
      <c r="E880" s="88"/>
      <c r="F880" s="88"/>
      <c r="G880" s="88"/>
      <c r="H880" s="89"/>
      <c r="J880" s="88"/>
    </row>
    <row r="881">
      <c r="B881" s="87"/>
      <c r="C881" s="87"/>
      <c r="D881" s="88"/>
      <c r="E881" s="88"/>
      <c r="F881" s="88"/>
      <c r="G881" s="88"/>
      <c r="H881" s="89"/>
      <c r="J881" s="88"/>
    </row>
    <row r="882">
      <c r="B882" s="87"/>
      <c r="C882" s="87"/>
      <c r="D882" s="88"/>
      <c r="E882" s="88"/>
      <c r="F882" s="88"/>
      <c r="G882" s="88"/>
      <c r="H882" s="89"/>
      <c r="J882" s="88"/>
    </row>
    <row r="883">
      <c r="B883" s="87"/>
      <c r="C883" s="87"/>
      <c r="D883" s="88"/>
      <c r="E883" s="88"/>
      <c r="F883" s="88"/>
      <c r="G883" s="88"/>
      <c r="H883" s="89"/>
      <c r="J883" s="88"/>
    </row>
    <row r="884">
      <c r="B884" s="87"/>
      <c r="C884" s="87"/>
      <c r="D884" s="88"/>
      <c r="E884" s="88"/>
      <c r="F884" s="88"/>
      <c r="G884" s="88"/>
      <c r="H884" s="89"/>
      <c r="J884" s="88"/>
    </row>
    <row r="885">
      <c r="B885" s="87"/>
      <c r="C885" s="87"/>
      <c r="D885" s="88"/>
      <c r="E885" s="88"/>
      <c r="F885" s="88"/>
      <c r="G885" s="88"/>
      <c r="H885" s="89"/>
      <c r="J885" s="88"/>
    </row>
    <row r="886">
      <c r="B886" s="87"/>
      <c r="C886" s="87"/>
      <c r="D886" s="88"/>
      <c r="E886" s="88"/>
      <c r="F886" s="88"/>
      <c r="G886" s="88"/>
      <c r="H886" s="89"/>
      <c r="J886" s="88"/>
    </row>
    <row r="887">
      <c r="B887" s="87"/>
      <c r="C887" s="87"/>
      <c r="D887" s="88"/>
      <c r="E887" s="88"/>
      <c r="F887" s="88"/>
      <c r="G887" s="88"/>
      <c r="H887" s="89"/>
      <c r="J887" s="88"/>
    </row>
    <row r="888">
      <c r="B888" s="87"/>
      <c r="C888" s="87"/>
      <c r="D888" s="88"/>
      <c r="E888" s="88"/>
      <c r="F888" s="88"/>
      <c r="G888" s="88"/>
      <c r="H888" s="89"/>
      <c r="J888" s="88"/>
    </row>
    <row r="889">
      <c r="B889" s="87"/>
      <c r="C889" s="87"/>
      <c r="D889" s="88"/>
      <c r="E889" s="88"/>
      <c r="F889" s="88"/>
      <c r="G889" s="88"/>
      <c r="H889" s="89"/>
      <c r="J889" s="88"/>
    </row>
    <row r="890">
      <c r="B890" s="87"/>
      <c r="C890" s="87"/>
      <c r="D890" s="88"/>
      <c r="E890" s="88"/>
      <c r="F890" s="88"/>
      <c r="G890" s="88"/>
      <c r="H890" s="89"/>
      <c r="J890" s="88"/>
    </row>
    <row r="891">
      <c r="B891" s="87"/>
      <c r="C891" s="87"/>
      <c r="D891" s="88"/>
      <c r="E891" s="88"/>
      <c r="F891" s="88"/>
      <c r="G891" s="88"/>
      <c r="H891" s="89"/>
      <c r="J891" s="88"/>
    </row>
    <row r="892">
      <c r="B892" s="87"/>
      <c r="C892" s="87"/>
      <c r="D892" s="88"/>
      <c r="E892" s="88"/>
      <c r="F892" s="88"/>
      <c r="G892" s="88"/>
      <c r="H892" s="89"/>
      <c r="J892" s="88"/>
    </row>
    <row r="893">
      <c r="B893" s="87"/>
      <c r="C893" s="87"/>
      <c r="D893" s="88"/>
      <c r="E893" s="88"/>
      <c r="F893" s="88"/>
      <c r="G893" s="88"/>
      <c r="H893" s="89"/>
      <c r="J893" s="88"/>
    </row>
    <row r="894">
      <c r="B894" s="87"/>
      <c r="C894" s="87"/>
      <c r="D894" s="88"/>
      <c r="E894" s="88"/>
      <c r="F894" s="88"/>
      <c r="G894" s="88"/>
      <c r="H894" s="89"/>
      <c r="J894" s="88"/>
    </row>
    <row r="895">
      <c r="B895" s="87"/>
      <c r="C895" s="87"/>
      <c r="D895" s="88"/>
      <c r="E895" s="88"/>
      <c r="F895" s="88"/>
      <c r="G895" s="88"/>
      <c r="H895" s="89"/>
      <c r="J895" s="88"/>
    </row>
    <row r="896">
      <c r="B896" s="87"/>
      <c r="C896" s="87"/>
      <c r="D896" s="88"/>
      <c r="E896" s="88"/>
      <c r="F896" s="88"/>
      <c r="G896" s="88"/>
      <c r="H896" s="89"/>
      <c r="J896" s="88"/>
    </row>
    <row r="897">
      <c r="B897" s="87"/>
      <c r="C897" s="87"/>
      <c r="D897" s="88"/>
      <c r="E897" s="88"/>
      <c r="F897" s="88"/>
      <c r="G897" s="88"/>
      <c r="H897" s="89"/>
      <c r="J897" s="88"/>
    </row>
    <row r="898">
      <c r="B898" s="87"/>
      <c r="C898" s="87"/>
      <c r="D898" s="88"/>
      <c r="E898" s="88"/>
      <c r="F898" s="88"/>
      <c r="G898" s="88"/>
      <c r="H898" s="89"/>
      <c r="J898" s="88"/>
    </row>
    <row r="899">
      <c r="B899" s="87"/>
      <c r="C899" s="87"/>
      <c r="D899" s="88"/>
      <c r="E899" s="88"/>
      <c r="F899" s="88"/>
      <c r="G899" s="88"/>
      <c r="H899" s="89"/>
      <c r="J899" s="88"/>
    </row>
    <row r="900">
      <c r="B900" s="87"/>
      <c r="C900" s="87"/>
      <c r="D900" s="88"/>
      <c r="E900" s="88"/>
      <c r="F900" s="88"/>
      <c r="G900" s="88"/>
      <c r="H900" s="89"/>
      <c r="J900" s="88"/>
    </row>
    <row r="901">
      <c r="B901" s="87"/>
      <c r="C901" s="87"/>
      <c r="D901" s="88"/>
      <c r="E901" s="88"/>
      <c r="F901" s="88"/>
      <c r="G901" s="88"/>
      <c r="H901" s="89"/>
      <c r="J901" s="88"/>
    </row>
    <row r="902">
      <c r="B902" s="87"/>
      <c r="C902" s="87"/>
      <c r="D902" s="88"/>
      <c r="E902" s="88"/>
      <c r="F902" s="88"/>
      <c r="G902" s="88"/>
      <c r="H902" s="89"/>
      <c r="J902" s="88"/>
    </row>
    <row r="903">
      <c r="B903" s="87"/>
      <c r="C903" s="87"/>
      <c r="D903" s="88"/>
      <c r="E903" s="88"/>
      <c r="F903" s="88"/>
      <c r="G903" s="88"/>
      <c r="H903" s="89"/>
      <c r="J903" s="88"/>
    </row>
    <row r="904">
      <c r="B904" s="87"/>
      <c r="C904" s="87"/>
      <c r="D904" s="88"/>
      <c r="E904" s="88"/>
      <c r="F904" s="88"/>
      <c r="G904" s="88"/>
      <c r="H904" s="89"/>
      <c r="J904" s="88"/>
    </row>
    <row r="905">
      <c r="B905" s="87"/>
      <c r="C905" s="87"/>
      <c r="D905" s="88"/>
      <c r="E905" s="88"/>
      <c r="F905" s="88"/>
      <c r="G905" s="88"/>
      <c r="H905" s="89"/>
      <c r="J905" s="88"/>
    </row>
    <row r="906">
      <c r="B906" s="87"/>
      <c r="C906" s="87"/>
      <c r="D906" s="88"/>
      <c r="E906" s="88"/>
      <c r="F906" s="88"/>
      <c r="G906" s="88"/>
      <c r="H906" s="89"/>
      <c r="J906" s="88"/>
    </row>
    <row r="907">
      <c r="B907" s="87"/>
      <c r="C907" s="87"/>
      <c r="D907" s="88"/>
      <c r="E907" s="88"/>
      <c r="F907" s="88"/>
      <c r="G907" s="88"/>
      <c r="H907" s="89"/>
      <c r="J907" s="88"/>
    </row>
    <row r="908">
      <c r="B908" s="87"/>
      <c r="C908" s="87"/>
      <c r="D908" s="88"/>
      <c r="E908" s="88"/>
      <c r="F908" s="88"/>
      <c r="G908" s="88"/>
      <c r="H908" s="89"/>
      <c r="J908" s="88"/>
    </row>
    <row r="909">
      <c r="B909" s="87"/>
      <c r="C909" s="87"/>
      <c r="D909" s="88"/>
      <c r="E909" s="88"/>
      <c r="F909" s="88"/>
      <c r="G909" s="88"/>
      <c r="H909" s="89"/>
      <c r="J909" s="88"/>
    </row>
    <row r="910">
      <c r="B910" s="87"/>
      <c r="C910" s="87"/>
      <c r="D910" s="88"/>
      <c r="E910" s="88"/>
      <c r="F910" s="88"/>
      <c r="G910" s="88"/>
      <c r="H910" s="89"/>
      <c r="J910" s="88"/>
    </row>
    <row r="911">
      <c r="B911" s="87"/>
      <c r="C911" s="87"/>
      <c r="D911" s="88"/>
      <c r="E911" s="88"/>
      <c r="F911" s="88"/>
      <c r="G911" s="88"/>
      <c r="H911" s="89"/>
      <c r="J911" s="88"/>
    </row>
    <row r="912">
      <c r="B912" s="87"/>
      <c r="C912" s="87"/>
      <c r="D912" s="88"/>
      <c r="E912" s="88"/>
      <c r="F912" s="88"/>
      <c r="G912" s="88"/>
      <c r="H912" s="89"/>
      <c r="J912" s="88"/>
    </row>
    <row r="913">
      <c r="B913" s="87"/>
      <c r="C913" s="87"/>
      <c r="D913" s="88"/>
      <c r="E913" s="88"/>
      <c r="F913" s="88"/>
      <c r="G913" s="88"/>
      <c r="H913" s="89"/>
      <c r="J913" s="88"/>
    </row>
    <row r="914">
      <c r="B914" s="87"/>
      <c r="C914" s="87"/>
      <c r="D914" s="88"/>
      <c r="E914" s="88"/>
      <c r="F914" s="88"/>
      <c r="G914" s="88"/>
      <c r="H914" s="89"/>
      <c r="J914" s="88"/>
    </row>
    <row r="915">
      <c r="B915" s="87"/>
      <c r="C915" s="87"/>
      <c r="D915" s="88"/>
      <c r="E915" s="88"/>
      <c r="F915" s="88"/>
      <c r="G915" s="88"/>
      <c r="H915" s="89"/>
      <c r="J915" s="88"/>
    </row>
    <row r="916">
      <c r="B916" s="87"/>
      <c r="C916" s="87"/>
      <c r="D916" s="88"/>
      <c r="E916" s="88"/>
      <c r="F916" s="88"/>
      <c r="G916" s="88"/>
      <c r="H916" s="89"/>
      <c r="J916" s="88"/>
    </row>
    <row r="917">
      <c r="B917" s="87"/>
      <c r="C917" s="87"/>
      <c r="D917" s="88"/>
      <c r="E917" s="88"/>
      <c r="F917" s="88"/>
      <c r="G917" s="88"/>
      <c r="H917" s="89"/>
      <c r="J917" s="88"/>
    </row>
    <row r="918">
      <c r="B918" s="87"/>
      <c r="C918" s="87"/>
      <c r="D918" s="88"/>
      <c r="E918" s="88"/>
      <c r="F918" s="88"/>
      <c r="G918" s="88"/>
      <c r="H918" s="89"/>
      <c r="J918" s="88"/>
    </row>
    <row r="919">
      <c r="B919" s="87"/>
      <c r="C919" s="87"/>
      <c r="D919" s="88"/>
      <c r="E919" s="88"/>
      <c r="F919" s="88"/>
      <c r="G919" s="88"/>
      <c r="H919" s="89"/>
      <c r="J919" s="88"/>
    </row>
    <row r="920">
      <c r="B920" s="87"/>
      <c r="C920" s="87"/>
      <c r="D920" s="88"/>
      <c r="E920" s="88"/>
      <c r="F920" s="88"/>
      <c r="G920" s="88"/>
      <c r="H920" s="89"/>
      <c r="J920" s="88"/>
    </row>
    <row r="921">
      <c r="B921" s="87"/>
      <c r="C921" s="87"/>
      <c r="D921" s="88"/>
      <c r="E921" s="88"/>
      <c r="F921" s="88"/>
      <c r="G921" s="88"/>
      <c r="H921" s="89"/>
      <c r="J921" s="88"/>
    </row>
    <row r="922">
      <c r="B922" s="87"/>
      <c r="C922" s="87"/>
      <c r="D922" s="88"/>
      <c r="E922" s="88"/>
      <c r="F922" s="88"/>
      <c r="G922" s="88"/>
      <c r="H922" s="89"/>
      <c r="J922" s="88"/>
    </row>
    <row r="923">
      <c r="B923" s="87"/>
      <c r="C923" s="87"/>
      <c r="D923" s="88"/>
      <c r="E923" s="88"/>
      <c r="F923" s="88"/>
      <c r="G923" s="88"/>
      <c r="H923" s="89"/>
      <c r="J923" s="88"/>
    </row>
    <row r="924">
      <c r="B924" s="87"/>
      <c r="C924" s="87"/>
      <c r="D924" s="88"/>
      <c r="E924" s="88"/>
      <c r="F924" s="88"/>
      <c r="G924" s="88"/>
      <c r="H924" s="89"/>
      <c r="J924" s="88"/>
    </row>
    <row r="925">
      <c r="B925" s="87"/>
      <c r="C925" s="87"/>
      <c r="D925" s="88"/>
      <c r="E925" s="88"/>
      <c r="F925" s="88"/>
      <c r="G925" s="88"/>
      <c r="H925" s="89"/>
      <c r="J925" s="88"/>
    </row>
    <row r="926">
      <c r="B926" s="87"/>
      <c r="C926" s="87"/>
      <c r="D926" s="88"/>
      <c r="E926" s="88"/>
      <c r="F926" s="88"/>
      <c r="G926" s="88"/>
      <c r="H926" s="89"/>
      <c r="J926" s="88"/>
    </row>
    <row r="927">
      <c r="B927" s="87"/>
      <c r="C927" s="87"/>
      <c r="D927" s="88"/>
      <c r="E927" s="88"/>
      <c r="F927" s="88"/>
      <c r="G927" s="88"/>
      <c r="H927" s="89"/>
      <c r="J927" s="88"/>
    </row>
    <row r="928">
      <c r="B928" s="87"/>
      <c r="C928" s="87"/>
      <c r="D928" s="88"/>
      <c r="E928" s="88"/>
      <c r="F928" s="88"/>
      <c r="G928" s="88"/>
      <c r="H928" s="89"/>
      <c r="J928" s="88"/>
    </row>
    <row r="929">
      <c r="B929" s="87"/>
      <c r="C929" s="87"/>
      <c r="D929" s="88"/>
      <c r="E929" s="88"/>
      <c r="F929" s="88"/>
      <c r="G929" s="88"/>
      <c r="H929" s="89"/>
      <c r="J929" s="88"/>
    </row>
    <row r="930">
      <c r="B930" s="87"/>
      <c r="C930" s="87"/>
      <c r="D930" s="88"/>
      <c r="E930" s="88"/>
      <c r="F930" s="88"/>
      <c r="G930" s="88"/>
      <c r="H930" s="89"/>
      <c r="J930" s="88"/>
    </row>
    <row r="931">
      <c r="B931" s="87"/>
      <c r="C931" s="87"/>
      <c r="D931" s="88"/>
      <c r="E931" s="88"/>
      <c r="F931" s="88"/>
      <c r="G931" s="88"/>
      <c r="H931" s="89"/>
      <c r="J931" s="88"/>
    </row>
    <row r="932">
      <c r="B932" s="87"/>
      <c r="C932" s="87"/>
      <c r="D932" s="88"/>
      <c r="E932" s="88"/>
      <c r="F932" s="88"/>
      <c r="G932" s="88"/>
      <c r="H932" s="89"/>
      <c r="J932" s="88"/>
    </row>
    <row r="933">
      <c r="B933" s="87"/>
      <c r="C933" s="87"/>
      <c r="D933" s="88"/>
      <c r="E933" s="88"/>
      <c r="F933" s="88"/>
      <c r="G933" s="88"/>
      <c r="H933" s="89"/>
      <c r="J933" s="88"/>
    </row>
    <row r="934">
      <c r="B934" s="87"/>
      <c r="C934" s="87"/>
      <c r="D934" s="88"/>
      <c r="E934" s="88"/>
      <c r="F934" s="88"/>
      <c r="G934" s="88"/>
      <c r="H934" s="89"/>
      <c r="J934" s="88"/>
    </row>
    <row r="935">
      <c r="B935" s="87"/>
      <c r="C935" s="87"/>
      <c r="D935" s="88"/>
      <c r="E935" s="88"/>
      <c r="F935" s="88"/>
      <c r="G935" s="88"/>
      <c r="H935" s="89"/>
      <c r="J935" s="88"/>
    </row>
    <row r="936">
      <c r="B936" s="87"/>
      <c r="C936" s="87"/>
      <c r="D936" s="88"/>
      <c r="E936" s="88"/>
      <c r="F936" s="88"/>
      <c r="G936" s="88"/>
      <c r="H936" s="89"/>
      <c r="J936" s="88"/>
    </row>
    <row r="937">
      <c r="B937" s="87"/>
      <c r="C937" s="87"/>
      <c r="D937" s="88"/>
      <c r="E937" s="88"/>
      <c r="F937" s="88"/>
      <c r="G937" s="88"/>
      <c r="H937" s="89"/>
      <c r="J937" s="88"/>
    </row>
    <row r="938">
      <c r="B938" s="87"/>
      <c r="C938" s="87"/>
      <c r="D938" s="88"/>
      <c r="E938" s="88"/>
      <c r="F938" s="88"/>
      <c r="G938" s="88"/>
      <c r="H938" s="89"/>
      <c r="J938" s="88"/>
    </row>
    <row r="939">
      <c r="B939" s="87"/>
      <c r="C939" s="87"/>
      <c r="D939" s="88"/>
      <c r="E939" s="88"/>
      <c r="F939" s="88"/>
      <c r="G939" s="88"/>
      <c r="H939" s="89"/>
      <c r="J939" s="88"/>
    </row>
    <row r="940">
      <c r="B940" s="87"/>
      <c r="C940" s="87"/>
      <c r="D940" s="88"/>
      <c r="E940" s="88"/>
      <c r="F940" s="88"/>
      <c r="G940" s="88"/>
      <c r="H940" s="89"/>
      <c r="J940" s="88"/>
    </row>
    <row r="941">
      <c r="B941" s="87"/>
      <c r="C941" s="87"/>
      <c r="D941" s="88"/>
      <c r="E941" s="88"/>
      <c r="F941" s="88"/>
      <c r="G941" s="88"/>
      <c r="H941" s="89"/>
      <c r="J941" s="88"/>
    </row>
    <row r="942">
      <c r="B942" s="87"/>
      <c r="C942" s="87"/>
      <c r="D942" s="88"/>
      <c r="E942" s="88"/>
      <c r="F942" s="88"/>
      <c r="G942" s="88"/>
      <c r="H942" s="89"/>
      <c r="J942" s="88"/>
    </row>
    <row r="943">
      <c r="B943" s="87"/>
      <c r="C943" s="87"/>
      <c r="D943" s="88"/>
      <c r="E943" s="88"/>
      <c r="F943" s="88"/>
      <c r="G943" s="88"/>
      <c r="H943" s="89"/>
      <c r="J943" s="88"/>
    </row>
    <row r="944">
      <c r="B944" s="87"/>
      <c r="C944" s="87"/>
      <c r="D944" s="88"/>
      <c r="E944" s="88"/>
      <c r="F944" s="88"/>
      <c r="G944" s="88"/>
      <c r="H944" s="89"/>
      <c r="J944" s="88"/>
    </row>
    <row r="945">
      <c r="B945" s="87"/>
      <c r="C945" s="87"/>
      <c r="D945" s="88"/>
      <c r="E945" s="88"/>
      <c r="F945" s="88"/>
      <c r="G945" s="88"/>
      <c r="H945" s="89"/>
      <c r="J945" s="88"/>
    </row>
    <row r="946">
      <c r="B946" s="87"/>
      <c r="C946" s="87"/>
      <c r="D946" s="88"/>
      <c r="E946" s="88"/>
      <c r="F946" s="88"/>
      <c r="G946" s="88"/>
      <c r="H946" s="89"/>
      <c r="J946" s="88"/>
    </row>
    <row r="947">
      <c r="B947" s="87"/>
      <c r="C947" s="87"/>
      <c r="D947" s="88"/>
      <c r="E947" s="88"/>
      <c r="F947" s="88"/>
      <c r="G947" s="88"/>
      <c r="H947" s="89"/>
      <c r="J947" s="88"/>
    </row>
    <row r="948">
      <c r="B948" s="87"/>
      <c r="C948" s="87"/>
      <c r="D948" s="88"/>
      <c r="E948" s="88"/>
      <c r="F948" s="88"/>
      <c r="G948" s="88"/>
      <c r="H948" s="89"/>
      <c r="J948" s="88"/>
    </row>
    <row r="949">
      <c r="B949" s="87"/>
      <c r="C949" s="87"/>
      <c r="D949" s="88"/>
      <c r="E949" s="88"/>
      <c r="F949" s="88"/>
      <c r="G949" s="88"/>
      <c r="H949" s="89"/>
      <c r="J949" s="88"/>
    </row>
    <row r="950">
      <c r="B950" s="87"/>
      <c r="C950" s="87"/>
      <c r="D950" s="88"/>
      <c r="E950" s="88"/>
      <c r="F950" s="88"/>
      <c r="G950" s="88"/>
      <c r="H950" s="89"/>
      <c r="J950" s="88"/>
    </row>
    <row r="951">
      <c r="B951" s="87"/>
      <c r="C951" s="87"/>
      <c r="D951" s="88"/>
      <c r="E951" s="88"/>
      <c r="F951" s="88"/>
      <c r="G951" s="88"/>
      <c r="H951" s="89"/>
      <c r="J951" s="88"/>
    </row>
    <row r="952">
      <c r="B952" s="87"/>
      <c r="C952" s="87"/>
      <c r="D952" s="88"/>
      <c r="E952" s="88"/>
      <c r="F952" s="88"/>
      <c r="G952" s="88"/>
      <c r="H952" s="89"/>
      <c r="J952" s="88"/>
    </row>
    <row r="953">
      <c r="B953" s="87"/>
      <c r="C953" s="87"/>
      <c r="D953" s="88"/>
      <c r="E953" s="88"/>
      <c r="F953" s="88"/>
      <c r="G953" s="88"/>
      <c r="H953" s="89"/>
      <c r="J953" s="88"/>
    </row>
    <row r="954">
      <c r="B954" s="87"/>
      <c r="C954" s="87"/>
      <c r="D954" s="88"/>
      <c r="E954" s="88"/>
      <c r="F954" s="88"/>
      <c r="G954" s="88"/>
      <c r="H954" s="89"/>
      <c r="J954" s="88"/>
    </row>
    <row r="955">
      <c r="B955" s="87"/>
      <c r="C955" s="87"/>
      <c r="D955" s="88"/>
      <c r="E955" s="88"/>
      <c r="F955" s="88"/>
      <c r="G955" s="88"/>
      <c r="H955" s="89"/>
      <c r="J955" s="88"/>
    </row>
    <row r="956">
      <c r="B956" s="87"/>
      <c r="C956" s="87"/>
      <c r="D956" s="88"/>
      <c r="E956" s="88"/>
      <c r="F956" s="88"/>
      <c r="G956" s="88"/>
      <c r="H956" s="89"/>
      <c r="J956" s="88"/>
    </row>
    <row r="957">
      <c r="B957" s="87"/>
      <c r="C957" s="87"/>
      <c r="D957" s="88"/>
      <c r="E957" s="88"/>
      <c r="F957" s="88"/>
      <c r="G957" s="88"/>
      <c r="H957" s="89"/>
      <c r="J957" s="88"/>
    </row>
    <row r="958">
      <c r="B958" s="87"/>
      <c r="C958" s="87"/>
      <c r="D958" s="88"/>
      <c r="E958" s="88"/>
      <c r="F958" s="88"/>
      <c r="G958" s="88"/>
      <c r="H958" s="89"/>
      <c r="J958" s="88"/>
    </row>
    <row r="959">
      <c r="B959" s="87"/>
      <c r="C959" s="87"/>
      <c r="D959" s="88"/>
      <c r="E959" s="88"/>
      <c r="F959" s="88"/>
      <c r="G959" s="88"/>
      <c r="H959" s="89"/>
      <c r="J959" s="88"/>
    </row>
    <row r="960">
      <c r="B960" s="87"/>
      <c r="C960" s="87"/>
      <c r="D960" s="88"/>
      <c r="E960" s="88"/>
      <c r="F960" s="88"/>
      <c r="G960" s="88"/>
      <c r="H960" s="89"/>
      <c r="J960" s="88"/>
    </row>
    <row r="961">
      <c r="B961" s="87"/>
      <c r="C961" s="87"/>
      <c r="D961" s="88"/>
      <c r="E961" s="88"/>
      <c r="F961" s="88"/>
      <c r="G961" s="88"/>
      <c r="H961" s="89"/>
      <c r="J961" s="88"/>
    </row>
    <row r="962">
      <c r="B962" s="87"/>
      <c r="C962" s="87"/>
      <c r="D962" s="88"/>
      <c r="E962" s="88"/>
      <c r="F962" s="88"/>
      <c r="G962" s="88"/>
      <c r="H962" s="89"/>
      <c r="J962" s="88"/>
    </row>
    <row r="963">
      <c r="B963" s="87"/>
      <c r="C963" s="87"/>
      <c r="D963" s="88"/>
      <c r="E963" s="88"/>
      <c r="F963" s="88"/>
      <c r="G963" s="88"/>
      <c r="H963" s="89"/>
      <c r="J963" s="88"/>
    </row>
    <row r="964">
      <c r="B964" s="87"/>
      <c r="C964" s="87"/>
      <c r="D964" s="88"/>
      <c r="E964" s="88"/>
      <c r="F964" s="88"/>
      <c r="G964" s="88"/>
      <c r="H964" s="89"/>
      <c r="J964" s="88"/>
    </row>
    <row r="965">
      <c r="B965" s="87"/>
      <c r="C965" s="87"/>
      <c r="D965" s="88"/>
      <c r="E965" s="88"/>
      <c r="F965" s="88"/>
      <c r="G965" s="88"/>
      <c r="H965" s="89"/>
      <c r="J965" s="88"/>
    </row>
    <row r="966">
      <c r="B966" s="87"/>
      <c r="C966" s="87"/>
      <c r="D966" s="88"/>
      <c r="E966" s="88"/>
      <c r="F966" s="88"/>
      <c r="G966" s="88"/>
      <c r="H966" s="89"/>
      <c r="J966" s="88"/>
    </row>
    <row r="967">
      <c r="B967" s="87"/>
      <c r="C967" s="87"/>
      <c r="D967" s="88"/>
      <c r="E967" s="88"/>
      <c r="F967" s="88"/>
      <c r="G967" s="88"/>
      <c r="H967" s="89"/>
      <c r="J967" s="88"/>
    </row>
    <row r="968">
      <c r="B968" s="87"/>
      <c r="C968" s="87"/>
      <c r="D968" s="88"/>
      <c r="E968" s="88"/>
      <c r="F968" s="88"/>
      <c r="G968" s="88"/>
      <c r="H968" s="89"/>
      <c r="J968" s="88"/>
    </row>
    <row r="969">
      <c r="B969" s="87"/>
      <c r="C969" s="87"/>
      <c r="D969" s="88"/>
      <c r="E969" s="88"/>
      <c r="F969" s="88"/>
      <c r="G969" s="88"/>
      <c r="H969" s="89"/>
      <c r="J969" s="88"/>
    </row>
    <row r="970">
      <c r="B970" s="87"/>
      <c r="C970" s="87"/>
      <c r="D970" s="88"/>
      <c r="E970" s="88"/>
      <c r="F970" s="88"/>
      <c r="G970" s="88"/>
      <c r="H970" s="89"/>
      <c r="J970" s="88"/>
    </row>
    <row r="971">
      <c r="B971" s="87"/>
      <c r="C971" s="87"/>
      <c r="D971" s="88"/>
      <c r="E971" s="88"/>
      <c r="F971" s="88"/>
      <c r="G971" s="88"/>
      <c r="H971" s="89"/>
      <c r="J971" s="88"/>
    </row>
    <row r="972">
      <c r="B972" s="87"/>
      <c r="C972" s="87"/>
      <c r="D972" s="88"/>
      <c r="E972" s="88"/>
      <c r="F972" s="88"/>
      <c r="G972" s="88"/>
      <c r="H972" s="89"/>
      <c r="J972" s="88"/>
    </row>
    <row r="973">
      <c r="B973" s="87"/>
      <c r="C973" s="87"/>
      <c r="D973" s="88"/>
      <c r="E973" s="88"/>
      <c r="F973" s="88"/>
      <c r="G973" s="88"/>
      <c r="H973" s="89"/>
      <c r="J973" s="88"/>
    </row>
    <row r="974">
      <c r="B974" s="87"/>
      <c r="C974" s="87"/>
      <c r="D974" s="88"/>
      <c r="E974" s="88"/>
      <c r="F974" s="88"/>
      <c r="G974" s="88"/>
      <c r="H974" s="89"/>
      <c r="J974" s="88"/>
    </row>
    <row r="975">
      <c r="B975" s="87"/>
      <c r="C975" s="87"/>
      <c r="D975" s="88"/>
      <c r="E975" s="88"/>
      <c r="F975" s="88"/>
      <c r="G975" s="88"/>
      <c r="H975" s="89"/>
      <c r="J975" s="88"/>
    </row>
    <row r="976">
      <c r="B976" s="87"/>
      <c r="C976" s="87"/>
      <c r="D976" s="88"/>
      <c r="E976" s="88"/>
      <c r="F976" s="88"/>
      <c r="G976" s="88"/>
      <c r="H976" s="89"/>
      <c r="J976" s="88"/>
    </row>
    <row r="977">
      <c r="B977" s="87"/>
      <c r="C977" s="87"/>
      <c r="D977" s="88"/>
      <c r="E977" s="88"/>
      <c r="F977" s="88"/>
      <c r="G977" s="88"/>
      <c r="H977" s="89"/>
      <c r="J977" s="88"/>
    </row>
    <row r="978">
      <c r="B978" s="87"/>
      <c r="C978" s="87"/>
      <c r="D978" s="88"/>
      <c r="E978" s="88"/>
      <c r="F978" s="88"/>
      <c r="G978" s="88"/>
      <c r="H978" s="89"/>
      <c r="J978" s="88"/>
    </row>
    <row r="979">
      <c r="B979" s="87"/>
      <c r="C979" s="87"/>
      <c r="D979" s="88"/>
      <c r="E979" s="88"/>
      <c r="F979" s="88"/>
      <c r="G979" s="88"/>
      <c r="H979" s="89"/>
      <c r="J979" s="88"/>
    </row>
    <row r="980">
      <c r="B980" s="87"/>
      <c r="C980" s="87"/>
      <c r="D980" s="88"/>
      <c r="E980" s="88"/>
      <c r="F980" s="88"/>
      <c r="G980" s="88"/>
      <c r="H980" s="89"/>
      <c r="J980" s="88"/>
    </row>
    <row r="981">
      <c r="B981" s="87"/>
      <c r="C981" s="87"/>
      <c r="D981" s="88"/>
      <c r="E981" s="88"/>
      <c r="F981" s="88"/>
      <c r="G981" s="88"/>
      <c r="H981" s="89"/>
      <c r="J981" s="88"/>
    </row>
    <row r="982">
      <c r="B982" s="87"/>
      <c r="C982" s="87"/>
      <c r="D982" s="88"/>
      <c r="E982" s="88"/>
      <c r="F982" s="88"/>
      <c r="G982" s="88"/>
      <c r="H982" s="89"/>
      <c r="J982" s="88"/>
    </row>
    <row r="983">
      <c r="B983" s="87"/>
      <c r="C983" s="87"/>
      <c r="D983" s="88"/>
      <c r="E983" s="88"/>
      <c r="F983" s="88"/>
      <c r="G983" s="88"/>
      <c r="H983" s="89"/>
      <c r="J983" s="88"/>
    </row>
    <row r="984">
      <c r="B984" s="87"/>
      <c r="C984" s="87"/>
      <c r="D984" s="88"/>
      <c r="E984" s="88"/>
      <c r="F984" s="88"/>
      <c r="G984" s="88"/>
      <c r="H984" s="89"/>
      <c r="J984" s="88"/>
    </row>
    <row r="985">
      <c r="B985" s="87"/>
      <c r="C985" s="87"/>
      <c r="D985" s="88"/>
      <c r="E985" s="88"/>
      <c r="F985" s="88"/>
      <c r="G985" s="88"/>
      <c r="H985" s="89"/>
      <c r="J985" s="88"/>
    </row>
    <row r="986">
      <c r="B986" s="87"/>
      <c r="C986" s="87"/>
      <c r="D986" s="88"/>
      <c r="E986" s="88"/>
      <c r="F986" s="88"/>
      <c r="G986" s="88"/>
      <c r="H986" s="89"/>
      <c r="J986" s="88"/>
    </row>
    <row r="987">
      <c r="B987" s="87"/>
      <c r="C987" s="87"/>
      <c r="D987" s="88"/>
      <c r="E987" s="88"/>
      <c r="F987" s="88"/>
      <c r="G987" s="88"/>
      <c r="H987" s="89"/>
      <c r="J987" s="88"/>
    </row>
    <row r="988">
      <c r="B988" s="87"/>
      <c r="C988" s="87"/>
      <c r="D988" s="88"/>
      <c r="E988" s="88"/>
      <c r="F988" s="88"/>
      <c r="G988" s="88"/>
      <c r="H988" s="89"/>
      <c r="J988" s="88"/>
    </row>
    <row r="989">
      <c r="B989" s="87"/>
      <c r="C989" s="87"/>
      <c r="D989" s="88"/>
      <c r="E989" s="88"/>
      <c r="F989" s="88"/>
      <c r="G989" s="88"/>
      <c r="H989" s="89"/>
      <c r="J989" s="88"/>
    </row>
    <row r="990">
      <c r="B990" s="87"/>
      <c r="C990" s="87"/>
      <c r="D990" s="88"/>
      <c r="E990" s="88"/>
      <c r="F990" s="88"/>
      <c r="G990" s="88"/>
      <c r="H990" s="89"/>
      <c r="J990" s="88"/>
    </row>
    <row r="991">
      <c r="B991" s="87"/>
      <c r="C991" s="87"/>
      <c r="D991" s="88"/>
      <c r="E991" s="88"/>
      <c r="F991" s="88"/>
      <c r="G991" s="88"/>
      <c r="H991" s="89"/>
      <c r="J991" s="88"/>
    </row>
    <row r="992">
      <c r="B992" s="87"/>
      <c r="C992" s="87"/>
      <c r="D992" s="88"/>
      <c r="E992" s="88"/>
      <c r="F992" s="88"/>
      <c r="G992" s="88"/>
      <c r="H992" s="89"/>
      <c r="J992" s="88"/>
    </row>
    <row r="993">
      <c r="B993" s="87"/>
      <c r="C993" s="87"/>
      <c r="D993" s="88"/>
      <c r="E993" s="88"/>
      <c r="F993" s="88"/>
      <c r="G993" s="88"/>
      <c r="H993" s="89"/>
      <c r="J993" s="88"/>
    </row>
    <row r="994">
      <c r="B994" s="87"/>
      <c r="C994" s="87"/>
      <c r="D994" s="88"/>
      <c r="E994" s="88"/>
      <c r="F994" s="88"/>
      <c r="G994" s="88"/>
      <c r="H994" s="89"/>
      <c r="J994" s="88"/>
    </row>
    <row r="995">
      <c r="B995" s="87"/>
      <c r="C995" s="87"/>
      <c r="D995" s="88"/>
      <c r="E995" s="88"/>
      <c r="F995" s="88"/>
      <c r="G995" s="88"/>
      <c r="H995" s="89"/>
      <c r="J995" s="88"/>
    </row>
    <row r="996">
      <c r="B996" s="87"/>
      <c r="C996" s="87"/>
      <c r="D996" s="88"/>
      <c r="E996" s="88"/>
      <c r="F996" s="88"/>
      <c r="G996" s="88"/>
      <c r="H996" s="89"/>
      <c r="J996" s="88"/>
    </row>
    <row r="997">
      <c r="B997" s="87"/>
      <c r="C997" s="87"/>
      <c r="D997" s="88"/>
      <c r="E997" s="88"/>
      <c r="F997" s="88"/>
      <c r="G997" s="88"/>
      <c r="H997" s="89"/>
      <c r="J997" s="88"/>
    </row>
    <row r="998">
      <c r="B998" s="87"/>
      <c r="C998" s="87"/>
      <c r="D998" s="88"/>
      <c r="E998" s="88"/>
      <c r="F998" s="88"/>
      <c r="G998" s="88"/>
      <c r="H998" s="89"/>
      <c r="J998" s="88"/>
    </row>
    <row r="999">
      <c r="B999" s="87"/>
      <c r="C999" s="87"/>
      <c r="D999" s="88"/>
      <c r="E999" s="88"/>
      <c r="F999" s="88"/>
      <c r="G999" s="88"/>
      <c r="H999" s="89"/>
      <c r="J999" s="88"/>
    </row>
    <row r="1000">
      <c r="B1000" s="87"/>
      <c r="C1000" s="87"/>
      <c r="D1000" s="88"/>
      <c r="E1000" s="88"/>
      <c r="F1000" s="88"/>
      <c r="G1000" s="88"/>
      <c r="H1000" s="89"/>
      <c r="J1000" s="88"/>
    </row>
    <row r="1001">
      <c r="B1001" s="87"/>
      <c r="C1001" s="87"/>
      <c r="D1001" s="88"/>
      <c r="E1001" s="88"/>
      <c r="F1001" s="88"/>
      <c r="G1001" s="88"/>
      <c r="H1001" s="89"/>
      <c r="J1001" s="88"/>
    </row>
    <row r="1002">
      <c r="B1002" s="87"/>
      <c r="C1002" s="87"/>
      <c r="D1002" s="88"/>
      <c r="E1002" s="88"/>
      <c r="F1002" s="88"/>
      <c r="G1002" s="88"/>
      <c r="H1002" s="89"/>
      <c r="J1002" s="88"/>
    </row>
    <row r="1003">
      <c r="B1003" s="87"/>
      <c r="C1003" s="87"/>
      <c r="D1003" s="88"/>
      <c r="E1003" s="88"/>
      <c r="F1003" s="88"/>
      <c r="G1003" s="88"/>
      <c r="H1003" s="89"/>
      <c r="J1003" s="88"/>
    </row>
    <row r="1004">
      <c r="B1004" s="87"/>
      <c r="C1004" s="87"/>
      <c r="D1004" s="88"/>
      <c r="E1004" s="88"/>
      <c r="F1004" s="88"/>
      <c r="G1004" s="88"/>
      <c r="H1004" s="89"/>
      <c r="J1004" s="88"/>
    </row>
    <row r="1005">
      <c r="B1005" s="87"/>
      <c r="C1005" s="87"/>
      <c r="D1005" s="88"/>
      <c r="E1005" s="88"/>
      <c r="F1005" s="88"/>
      <c r="G1005" s="88"/>
      <c r="H1005" s="89"/>
      <c r="J1005" s="88"/>
    </row>
    <row r="1006">
      <c r="B1006" s="87"/>
      <c r="C1006" s="87"/>
      <c r="D1006" s="88"/>
      <c r="E1006" s="88"/>
      <c r="F1006" s="88"/>
      <c r="G1006" s="88"/>
      <c r="H1006" s="89"/>
      <c r="J1006" s="88"/>
    </row>
    <row r="1007">
      <c r="B1007" s="87"/>
      <c r="C1007" s="87"/>
      <c r="D1007" s="88"/>
      <c r="E1007" s="88"/>
      <c r="F1007" s="88"/>
      <c r="G1007" s="88"/>
      <c r="H1007" s="89"/>
      <c r="J1007" s="88"/>
    </row>
    <row r="1008">
      <c r="B1008" s="87"/>
      <c r="C1008" s="87"/>
      <c r="D1008" s="88"/>
      <c r="E1008" s="88"/>
      <c r="F1008" s="88"/>
      <c r="G1008" s="88"/>
      <c r="H1008" s="89"/>
      <c r="J1008" s="88"/>
    </row>
    <row r="1009">
      <c r="B1009" s="87"/>
      <c r="C1009" s="87"/>
      <c r="D1009" s="88"/>
      <c r="E1009" s="88"/>
      <c r="F1009" s="88"/>
      <c r="G1009" s="88"/>
      <c r="H1009" s="89"/>
      <c r="J1009" s="88"/>
    </row>
    <row r="1010">
      <c r="B1010" s="87"/>
      <c r="C1010" s="87"/>
      <c r="D1010" s="88"/>
      <c r="E1010" s="88"/>
      <c r="F1010" s="88"/>
      <c r="G1010" s="88"/>
      <c r="H1010" s="89"/>
      <c r="J1010" s="88"/>
    </row>
    <row r="1011">
      <c r="B1011" s="87"/>
      <c r="C1011" s="87"/>
      <c r="D1011" s="88"/>
      <c r="E1011" s="88"/>
      <c r="F1011" s="88"/>
      <c r="G1011" s="88"/>
      <c r="H1011" s="89"/>
      <c r="J1011" s="88"/>
    </row>
    <row r="1012">
      <c r="B1012" s="87"/>
      <c r="C1012" s="87"/>
      <c r="D1012" s="88"/>
      <c r="E1012" s="88"/>
      <c r="F1012" s="88"/>
      <c r="G1012" s="88"/>
      <c r="H1012" s="89"/>
      <c r="J1012" s="88"/>
    </row>
    <row r="1013">
      <c r="B1013" s="87"/>
      <c r="C1013" s="87"/>
      <c r="D1013" s="88"/>
      <c r="E1013" s="88"/>
      <c r="F1013" s="88"/>
      <c r="G1013" s="88"/>
      <c r="H1013" s="89"/>
      <c r="J1013" s="88"/>
    </row>
    <row r="1014">
      <c r="B1014" s="87"/>
      <c r="C1014" s="87"/>
      <c r="D1014" s="88"/>
      <c r="E1014" s="88"/>
      <c r="F1014" s="88"/>
      <c r="G1014" s="88"/>
      <c r="H1014" s="89"/>
      <c r="J1014" s="88"/>
    </row>
    <row r="1015">
      <c r="B1015" s="87"/>
      <c r="C1015" s="87"/>
      <c r="D1015" s="88"/>
      <c r="E1015" s="88"/>
      <c r="F1015" s="88"/>
      <c r="G1015" s="88"/>
      <c r="H1015" s="89"/>
      <c r="J1015" s="88"/>
    </row>
  </sheetData>
  <mergeCells count="2">
    <mergeCell ref="B2:I2"/>
    <mergeCell ref="B26:C26"/>
  </mergeCells>
  <conditionalFormatting sqref="H1 H3:H1015">
    <cfRule type="cellIs" dxfId="5" priority="1" operator="greaterThan">
      <formula>"3%"</formula>
    </cfRule>
  </conditionalFormatting>
  <conditionalFormatting sqref="H1 H3:H1015">
    <cfRule type="cellIs" dxfId="6" priority="2" operator="between">
      <formula>"2%"</formula>
      <formula>"3%"</formula>
    </cfRule>
  </conditionalFormatting>
  <conditionalFormatting sqref="H1 H3:H1015">
    <cfRule type="cellIs" dxfId="7" priority="3" operator="lessThan">
      <formula>"2%"</formula>
    </cfRule>
  </conditionalFormatting>
  <dataValidations>
    <dataValidation type="decimal" operator="lessThan" allowBlank="1" showDropDown="1" sqref="H4:H25">
      <formula1>2.0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hidden="1" min="1" max="1" width="12.63"/>
    <col customWidth="1" min="2" max="2" width="12.63"/>
    <col customWidth="1" min="6" max="6" width="17.75"/>
    <col customWidth="1" min="7" max="7" width="48.88"/>
  </cols>
  <sheetData>
    <row r="1">
      <c r="B1" s="112" t="s">
        <v>156</v>
      </c>
      <c r="C1" s="88"/>
      <c r="D1" s="88"/>
      <c r="E1" s="88"/>
      <c r="F1" s="113"/>
      <c r="G1" s="114"/>
    </row>
    <row r="2">
      <c r="B2" s="87"/>
      <c r="C2" s="88"/>
      <c r="D2" s="88"/>
      <c r="E2" s="88"/>
      <c r="F2" s="113"/>
      <c r="G2" s="114"/>
    </row>
    <row r="3">
      <c r="B3" s="115" t="s">
        <v>157</v>
      </c>
      <c r="C3" s="57"/>
      <c r="D3" s="57"/>
      <c r="E3" s="57"/>
      <c r="F3" s="57"/>
      <c r="G3" s="58"/>
      <c r="I3" s="116"/>
    </row>
    <row r="4">
      <c r="B4" s="117" t="s">
        <v>24</v>
      </c>
      <c r="C4" s="118" t="s">
        <v>1</v>
      </c>
      <c r="D4" s="57"/>
      <c r="E4" s="58"/>
      <c r="F4" s="119" t="s">
        <v>158</v>
      </c>
      <c r="G4" s="120" t="s">
        <v>159</v>
      </c>
    </row>
    <row r="5">
      <c r="B5" s="121"/>
      <c r="C5" s="122" t="s">
        <v>160</v>
      </c>
      <c r="D5" s="122" t="s">
        <v>161</v>
      </c>
      <c r="E5" s="122" t="s">
        <v>162</v>
      </c>
      <c r="F5" s="121"/>
      <c r="G5" s="121"/>
    </row>
    <row r="6">
      <c r="B6" s="123"/>
      <c r="C6" s="122" t="s">
        <v>32</v>
      </c>
      <c r="D6" s="122" t="s">
        <v>163</v>
      </c>
      <c r="E6" s="122" t="s">
        <v>25</v>
      </c>
      <c r="F6" s="123"/>
      <c r="G6" s="123"/>
    </row>
    <row r="7">
      <c r="B7" s="124">
        <v>46174.0</v>
      </c>
      <c r="C7" s="101">
        <f>SUMIFS(LIBERACION!$V:$V,LIBERACION!$Y:$Y,$B7,LIBERACION!$B:$B,C$6)</f>
        <v>222525</v>
      </c>
      <c r="D7" s="101">
        <f>SUMIFS(LIBERACION!$V:$V,LIBERACION!$Y:$Y,$B7,LIBERACION!$B:$B,D$6)</f>
        <v>0</v>
      </c>
      <c r="E7" s="101">
        <f>SUMIFS(LIBERACION!$V:$V,LIBERACION!$Y:$Y,$B7,LIBERACION!$B:$B,E$6)</f>
        <v>142675</v>
      </c>
      <c r="F7" s="102">
        <f t="shared" ref="F7:F11" si="1">SUM(C7:E7)</f>
        <v>365200</v>
      </c>
      <c r="G7" s="125"/>
    </row>
    <row r="8">
      <c r="B8" s="124">
        <v>46175.0</v>
      </c>
      <c r="C8" s="101">
        <f>SUMIFS(LIBERACION!$V:$V,LIBERACION!$Y:$Y,$B8,LIBERACION!$B:$B,C$6)</f>
        <v>62650</v>
      </c>
      <c r="D8" s="101">
        <f>SUMIFS(LIBERACION!$V:$V,LIBERACION!$Y:$Y,$B8,LIBERACION!$B:$B,D$6)</f>
        <v>0</v>
      </c>
      <c r="E8" s="101">
        <f>SUMIFS(LIBERACION!$V:$V,LIBERACION!$Y:$Y,$B8,LIBERACION!$B:$B,E$6)</f>
        <v>50475</v>
      </c>
      <c r="F8" s="126">
        <f t="shared" si="1"/>
        <v>113125</v>
      </c>
      <c r="G8" s="125"/>
    </row>
    <row r="9">
      <c r="B9" s="124">
        <v>46176.0</v>
      </c>
      <c r="C9" s="101">
        <f>SUMIFS(LIBERACION!$V:$V,LIBERACION!$Y:$Y,$B9,LIBERACION!$B:$B,C$6)</f>
        <v>68750</v>
      </c>
      <c r="D9" s="101">
        <f>SUMIFS(LIBERACION!$V:$V,LIBERACION!$Y:$Y,$B9,LIBERACION!$B:$B,D$6)</f>
        <v>0</v>
      </c>
      <c r="E9" s="101">
        <f>SUMIFS(LIBERACION!$V:$V,LIBERACION!$Y:$Y,$B9,LIBERACION!$B:$B,E$6)</f>
        <v>56000</v>
      </c>
      <c r="F9" s="126">
        <f t="shared" si="1"/>
        <v>124750</v>
      </c>
      <c r="G9" s="125"/>
    </row>
    <row r="10">
      <c r="B10" s="124">
        <v>46177.0</v>
      </c>
      <c r="C10" s="101">
        <f>SUMIFS(LIBERACION!$V:$V,LIBERACION!$Y:$Y,$B10,LIBERACION!$B:$B,C$6)</f>
        <v>64075</v>
      </c>
      <c r="D10" s="101">
        <f>SUMIFS(LIBERACION!$V:$V,LIBERACION!$Y:$Y,$B10,LIBERACION!$B:$B,D$6)</f>
        <v>0</v>
      </c>
      <c r="E10" s="101">
        <f>SUMIFS(LIBERACION!$V:$V,LIBERACION!$Y:$Y,$B10,LIBERACION!$B:$B,E$6)</f>
        <v>27900</v>
      </c>
      <c r="F10" s="102">
        <f t="shared" si="1"/>
        <v>91975</v>
      </c>
      <c r="G10" s="125" t="s">
        <v>164</v>
      </c>
    </row>
    <row r="11">
      <c r="B11" s="124">
        <v>46178.0</v>
      </c>
      <c r="C11" s="101">
        <f>SUMIFS(LIBERACION!$V:$V,LIBERACION!$Y:$Y,$B11,LIBERACION!$B:$B,C$6)</f>
        <v>43200</v>
      </c>
      <c r="D11" s="101">
        <f>SUMIFS(LIBERACION!$V:$V,LIBERACION!$Y:$Y,$B11,LIBERACION!$B:$B,D$6)</f>
        <v>0</v>
      </c>
      <c r="E11" s="101">
        <f>SUMIFS(LIBERACION!$V:$V,LIBERACION!$Y:$Y,$B11,LIBERACION!$B:$B,E$6)</f>
        <v>45700</v>
      </c>
      <c r="F11" s="102">
        <f t="shared" si="1"/>
        <v>88900</v>
      </c>
      <c r="G11" s="125" t="s">
        <v>165</v>
      </c>
    </row>
    <row r="12">
      <c r="B12" s="87"/>
      <c r="C12" s="88"/>
      <c r="D12" s="88"/>
      <c r="E12" s="127" t="s">
        <v>166</v>
      </c>
      <c r="F12" s="101">
        <f> SUM( F7:F11 )</f>
        <v>783950</v>
      </c>
      <c r="G12" s="114"/>
    </row>
    <row r="13">
      <c r="B13" s="87"/>
      <c r="C13" s="88"/>
      <c r="D13" s="88"/>
      <c r="E13" s="88"/>
      <c r="F13" s="88"/>
      <c r="G13" s="114"/>
    </row>
    <row r="14">
      <c r="B14" s="87"/>
      <c r="C14" s="88"/>
      <c r="D14" s="88"/>
      <c r="E14" s="88"/>
      <c r="F14" s="88"/>
      <c r="G14" s="114"/>
    </row>
    <row r="15">
      <c r="B15" s="87"/>
      <c r="C15" s="88"/>
      <c r="D15" s="88"/>
      <c r="E15" s="88"/>
      <c r="F15" s="88"/>
      <c r="G15" s="128"/>
    </row>
    <row r="16">
      <c r="B16" s="115" t="s">
        <v>167</v>
      </c>
      <c r="C16" s="57"/>
      <c r="D16" s="57"/>
      <c r="E16" s="57"/>
      <c r="F16" s="58"/>
      <c r="G16" s="114"/>
    </row>
    <row r="17">
      <c r="B17" s="129" t="s">
        <v>24</v>
      </c>
      <c r="C17" s="130" t="s">
        <v>1</v>
      </c>
      <c r="D17" s="57"/>
      <c r="E17" s="58"/>
      <c r="F17" s="131" t="s">
        <v>168</v>
      </c>
      <c r="G17" s="114"/>
    </row>
    <row r="18">
      <c r="B18" s="121"/>
      <c r="C18" s="132" t="s">
        <v>160</v>
      </c>
      <c r="D18" s="132" t="s">
        <v>161</v>
      </c>
      <c r="E18" s="132" t="s">
        <v>162</v>
      </c>
      <c r="F18" s="121"/>
      <c r="G18" s="114"/>
    </row>
    <row r="19">
      <c r="B19" s="123"/>
      <c r="C19" s="132" t="s">
        <v>32</v>
      </c>
      <c r="D19" s="132" t="s">
        <v>163</v>
      </c>
      <c r="E19" s="132" t="s">
        <v>25</v>
      </c>
      <c r="F19" s="123"/>
      <c r="G19" s="114"/>
    </row>
    <row r="20">
      <c r="B20" s="124">
        <f t="shared" ref="B20:B24" si="3">B7</f>
        <v>46174</v>
      </c>
      <c r="C20" s="103">
        <f t="shared" ref="C20:E20" si="2">((C7*100)/500000)/100</f>
        <v>0.44505</v>
      </c>
      <c r="D20" s="103">
        <f t="shared" si="2"/>
        <v>0</v>
      </c>
      <c r="E20" s="103">
        <f t="shared" si="2"/>
        <v>0.28535</v>
      </c>
      <c r="F20" s="103">
        <f t="shared" ref="F20:F24" si="5">SUM(C20:E20)</f>
        <v>0.7304</v>
      </c>
      <c r="G20" s="114"/>
    </row>
    <row r="21">
      <c r="B21" s="124">
        <f t="shared" si="3"/>
        <v>46175</v>
      </c>
      <c r="C21" s="103">
        <f t="shared" ref="C21:E21" si="4">((C8*100)/500000)/100</f>
        <v>0.1253</v>
      </c>
      <c r="D21" s="103">
        <f t="shared" si="4"/>
        <v>0</v>
      </c>
      <c r="E21" s="103">
        <f t="shared" si="4"/>
        <v>0.10095</v>
      </c>
      <c r="F21" s="103">
        <f t="shared" si="5"/>
        <v>0.22625</v>
      </c>
      <c r="G21" s="114"/>
    </row>
    <row r="22">
      <c r="B22" s="124">
        <f t="shared" si="3"/>
        <v>46176</v>
      </c>
      <c r="C22" s="103">
        <f t="shared" ref="C22:E22" si="6">((C9*100)/500000)/100</f>
        <v>0.1375</v>
      </c>
      <c r="D22" s="103">
        <f t="shared" si="6"/>
        <v>0</v>
      </c>
      <c r="E22" s="103">
        <f t="shared" si="6"/>
        <v>0.112</v>
      </c>
      <c r="F22" s="103">
        <f t="shared" si="5"/>
        <v>0.2495</v>
      </c>
      <c r="G22" s="114"/>
    </row>
    <row r="23">
      <c r="B23" s="124">
        <f t="shared" si="3"/>
        <v>46177</v>
      </c>
      <c r="C23" s="103">
        <f t="shared" ref="C23:E23" si="7">((C10*100)/500000)/100</f>
        <v>0.12815</v>
      </c>
      <c r="D23" s="103">
        <f t="shared" si="7"/>
        <v>0</v>
      </c>
      <c r="E23" s="103">
        <f t="shared" si="7"/>
        <v>0.0558</v>
      </c>
      <c r="F23" s="103">
        <f t="shared" si="5"/>
        <v>0.18395</v>
      </c>
      <c r="G23" s="114"/>
    </row>
    <row r="24">
      <c r="B24" s="124">
        <f t="shared" si="3"/>
        <v>46178</v>
      </c>
      <c r="C24" s="103">
        <f t="shared" ref="C24:E24" si="8">((C11*100)/500000)/100</f>
        <v>0.0864</v>
      </c>
      <c r="D24" s="103">
        <f t="shared" si="8"/>
        <v>0</v>
      </c>
      <c r="E24" s="103">
        <f t="shared" si="8"/>
        <v>0.0914</v>
      </c>
      <c r="F24" s="103">
        <f t="shared" si="5"/>
        <v>0.1778</v>
      </c>
      <c r="G24" s="114"/>
    </row>
    <row r="25">
      <c r="B25" s="87"/>
      <c r="C25" s="88"/>
      <c r="D25" s="88"/>
      <c r="E25" s="127" t="s">
        <v>169</v>
      </c>
      <c r="F25" s="103">
        <f>SUM(F20:F24)</f>
        <v>1.5679</v>
      </c>
      <c r="G25" s="114"/>
    </row>
    <row r="26">
      <c r="B26" s="87"/>
      <c r="C26" s="88"/>
      <c r="D26" s="88"/>
      <c r="E26" s="88"/>
      <c r="F26" s="88"/>
      <c r="G26" s="114"/>
    </row>
    <row r="27">
      <c r="B27" s="87"/>
      <c r="C27" s="88"/>
      <c r="D27" s="88"/>
      <c r="E27" s="88"/>
      <c r="F27" s="88"/>
      <c r="G27" s="114"/>
    </row>
    <row r="28">
      <c r="B28" s="87"/>
      <c r="C28" s="88"/>
      <c r="D28" s="88"/>
      <c r="E28" s="88"/>
      <c r="F28" s="88"/>
      <c r="G28" s="114"/>
    </row>
    <row r="29">
      <c r="B29" s="87"/>
      <c r="C29" s="88"/>
      <c r="D29" s="88"/>
      <c r="E29" s="88"/>
      <c r="F29" s="88"/>
      <c r="G29" s="114"/>
    </row>
    <row r="30">
      <c r="B30" s="87"/>
      <c r="C30" s="88"/>
      <c r="D30" s="88"/>
      <c r="E30" s="88"/>
      <c r="F30" s="88"/>
      <c r="G30" s="114"/>
    </row>
    <row r="31">
      <c r="B31" s="87"/>
      <c r="C31" s="88"/>
      <c r="D31" s="88"/>
      <c r="E31" s="88"/>
      <c r="F31" s="88"/>
      <c r="G31" s="114"/>
    </row>
    <row r="32">
      <c r="B32" s="87"/>
      <c r="C32" s="88"/>
      <c r="D32" s="88"/>
      <c r="E32" s="88"/>
      <c r="F32" s="88"/>
      <c r="G32" s="114"/>
    </row>
    <row r="33">
      <c r="B33" s="87"/>
      <c r="C33" s="88"/>
      <c r="D33" s="88"/>
      <c r="E33" s="88"/>
      <c r="F33" s="88"/>
      <c r="G33" s="114"/>
    </row>
    <row r="34">
      <c r="B34" s="87"/>
      <c r="C34" s="88"/>
      <c r="D34" s="88"/>
      <c r="E34" s="88"/>
      <c r="F34" s="88"/>
      <c r="G34" s="114"/>
    </row>
    <row r="35">
      <c r="B35" s="87"/>
      <c r="C35" s="88"/>
      <c r="D35" s="88"/>
      <c r="E35" s="88"/>
      <c r="F35" s="88"/>
      <c r="G35" s="114"/>
    </row>
    <row r="36">
      <c r="B36" s="87"/>
      <c r="C36" s="88"/>
      <c r="D36" s="88"/>
      <c r="E36" s="88"/>
      <c r="F36" s="88"/>
      <c r="G36" s="114"/>
    </row>
    <row r="37">
      <c r="B37" s="87"/>
      <c r="C37" s="88"/>
      <c r="D37" s="88"/>
      <c r="E37" s="88"/>
      <c r="F37" s="88"/>
      <c r="G37" s="114"/>
    </row>
    <row r="38">
      <c r="B38" s="87"/>
      <c r="C38" s="88"/>
      <c r="D38" s="88"/>
      <c r="E38" s="88"/>
      <c r="F38" s="88"/>
      <c r="G38" s="114"/>
    </row>
    <row r="39">
      <c r="B39" s="87"/>
      <c r="C39" s="88"/>
      <c r="D39" s="88"/>
      <c r="E39" s="88"/>
      <c r="F39" s="88"/>
      <c r="G39" s="114"/>
    </row>
    <row r="40">
      <c r="B40" s="87"/>
      <c r="C40" s="88"/>
      <c r="D40" s="88"/>
      <c r="E40" s="88"/>
      <c r="F40" s="88"/>
      <c r="G40" s="114"/>
    </row>
    <row r="41">
      <c r="B41" s="87"/>
      <c r="C41" s="88"/>
      <c r="D41" s="88"/>
      <c r="E41" s="88"/>
      <c r="F41" s="88"/>
      <c r="G41" s="114"/>
    </row>
    <row r="42">
      <c r="B42" s="87"/>
      <c r="C42" s="88"/>
      <c r="D42" s="88"/>
      <c r="E42" s="88"/>
      <c r="F42" s="88"/>
      <c r="G42" s="114"/>
    </row>
    <row r="43">
      <c r="B43" s="87"/>
      <c r="C43" s="88"/>
      <c r="D43" s="88"/>
      <c r="E43" s="88"/>
      <c r="F43" s="88"/>
      <c r="G43" s="114"/>
    </row>
    <row r="44">
      <c r="B44" s="87"/>
      <c r="C44" s="88"/>
      <c r="D44" s="88"/>
      <c r="E44" s="88"/>
      <c r="F44" s="88"/>
      <c r="G44" s="114"/>
    </row>
    <row r="45">
      <c r="B45" s="87"/>
      <c r="C45" s="88"/>
      <c r="D45" s="88"/>
      <c r="E45" s="88"/>
      <c r="F45" s="88"/>
      <c r="G45" s="114"/>
    </row>
    <row r="46">
      <c r="B46" s="87"/>
      <c r="C46" s="88"/>
      <c r="D46" s="88"/>
      <c r="E46" s="88"/>
      <c r="F46" s="88"/>
      <c r="G46" s="114"/>
    </row>
    <row r="47">
      <c r="B47" s="87"/>
      <c r="C47" s="88"/>
      <c r="D47" s="88"/>
      <c r="E47" s="88"/>
      <c r="F47" s="88"/>
      <c r="G47" s="114"/>
    </row>
    <row r="48">
      <c r="B48" s="87"/>
      <c r="C48" s="88"/>
      <c r="D48" s="88"/>
      <c r="E48" s="88"/>
      <c r="F48" s="88"/>
      <c r="G48" s="114"/>
    </row>
    <row r="49">
      <c r="B49" s="87"/>
      <c r="C49" s="88"/>
      <c r="D49" s="88"/>
      <c r="E49" s="88"/>
      <c r="F49" s="88"/>
      <c r="G49" s="114"/>
    </row>
    <row r="50">
      <c r="B50" s="87"/>
      <c r="C50" s="88"/>
      <c r="D50" s="88"/>
      <c r="E50" s="88"/>
      <c r="F50" s="88"/>
      <c r="G50" s="114"/>
    </row>
    <row r="51">
      <c r="B51" s="87"/>
      <c r="C51" s="88"/>
      <c r="D51" s="88"/>
      <c r="E51" s="88"/>
      <c r="F51" s="88"/>
      <c r="G51" s="114"/>
    </row>
    <row r="52">
      <c r="B52" s="87"/>
      <c r="C52" s="88"/>
      <c r="D52" s="88"/>
      <c r="E52" s="88"/>
      <c r="F52" s="88"/>
      <c r="G52" s="114"/>
    </row>
    <row r="53">
      <c r="B53" s="87"/>
      <c r="C53" s="88"/>
      <c r="D53" s="88"/>
      <c r="E53" s="88"/>
      <c r="F53" s="88"/>
      <c r="G53" s="114"/>
    </row>
    <row r="54">
      <c r="B54" s="87"/>
      <c r="C54" s="88"/>
      <c r="D54" s="88"/>
      <c r="E54" s="88"/>
      <c r="F54" s="88"/>
      <c r="G54" s="114"/>
    </row>
    <row r="55">
      <c r="B55" s="87"/>
      <c r="C55" s="88"/>
      <c r="D55" s="88"/>
      <c r="E55" s="88"/>
      <c r="F55" s="88"/>
      <c r="G55" s="114"/>
    </row>
    <row r="56">
      <c r="B56" s="87"/>
      <c r="C56" s="88"/>
      <c r="D56" s="88"/>
      <c r="E56" s="88"/>
      <c r="F56" s="88"/>
      <c r="G56" s="114"/>
    </row>
    <row r="57">
      <c r="B57" s="87"/>
      <c r="C57" s="88"/>
      <c r="D57" s="88"/>
      <c r="E57" s="88"/>
      <c r="F57" s="88"/>
      <c r="G57" s="114"/>
    </row>
    <row r="58">
      <c r="B58" s="87"/>
      <c r="C58" s="88"/>
      <c r="D58" s="88"/>
      <c r="E58" s="88"/>
      <c r="F58" s="88"/>
      <c r="G58" s="114"/>
    </row>
    <row r="59">
      <c r="B59" s="87"/>
      <c r="C59" s="88"/>
      <c r="D59" s="88"/>
      <c r="E59" s="88"/>
      <c r="F59" s="88"/>
      <c r="G59" s="114"/>
    </row>
    <row r="60">
      <c r="B60" s="87"/>
      <c r="C60" s="88"/>
      <c r="D60" s="88"/>
      <c r="E60" s="88"/>
      <c r="F60" s="88"/>
      <c r="G60" s="114"/>
    </row>
    <row r="61">
      <c r="B61" s="87"/>
      <c r="C61" s="88"/>
      <c r="D61" s="88"/>
      <c r="E61" s="88"/>
      <c r="F61" s="88"/>
      <c r="G61" s="114"/>
    </row>
    <row r="62">
      <c r="B62" s="87"/>
      <c r="C62" s="88"/>
      <c r="D62" s="88"/>
      <c r="E62" s="88"/>
      <c r="F62" s="88"/>
      <c r="G62" s="114"/>
    </row>
    <row r="63">
      <c r="B63" s="87"/>
      <c r="C63" s="88"/>
      <c r="D63" s="88"/>
      <c r="E63" s="88"/>
      <c r="F63" s="88"/>
      <c r="G63" s="114"/>
    </row>
    <row r="64">
      <c r="B64" s="87"/>
      <c r="C64" s="88"/>
      <c r="D64" s="88"/>
      <c r="E64" s="88"/>
      <c r="F64" s="88"/>
      <c r="G64" s="114"/>
    </row>
    <row r="65">
      <c r="B65" s="87"/>
      <c r="C65" s="88"/>
      <c r="D65" s="88"/>
      <c r="E65" s="88"/>
      <c r="F65" s="88"/>
      <c r="G65" s="114"/>
    </row>
    <row r="66">
      <c r="B66" s="87"/>
      <c r="C66" s="88"/>
      <c r="D66" s="88"/>
      <c r="E66" s="88"/>
      <c r="F66" s="88"/>
      <c r="G66" s="114"/>
    </row>
    <row r="67">
      <c r="B67" s="87"/>
      <c r="C67" s="88"/>
      <c r="D67" s="88"/>
      <c r="E67" s="88"/>
      <c r="F67" s="88"/>
      <c r="G67" s="114"/>
    </row>
    <row r="68">
      <c r="B68" s="87"/>
      <c r="C68" s="88"/>
      <c r="D68" s="88"/>
      <c r="E68" s="88"/>
      <c r="F68" s="88"/>
      <c r="G68" s="114"/>
    </row>
    <row r="69">
      <c r="B69" s="87"/>
      <c r="C69" s="88"/>
      <c r="D69" s="88"/>
      <c r="E69" s="88"/>
      <c r="F69" s="88"/>
      <c r="G69" s="114"/>
    </row>
    <row r="70">
      <c r="B70" s="87"/>
      <c r="C70" s="88"/>
      <c r="D70" s="88"/>
      <c r="E70" s="88"/>
      <c r="F70" s="88"/>
      <c r="G70" s="114"/>
    </row>
    <row r="71">
      <c r="B71" s="87"/>
      <c r="C71" s="88"/>
      <c r="D71" s="88"/>
      <c r="E71" s="88"/>
      <c r="F71" s="88"/>
      <c r="G71" s="114"/>
    </row>
    <row r="72">
      <c r="B72" s="87"/>
      <c r="C72" s="88"/>
      <c r="D72" s="88"/>
      <c r="E72" s="88"/>
      <c r="F72" s="88"/>
      <c r="G72" s="114"/>
    </row>
    <row r="73">
      <c r="B73" s="87"/>
      <c r="C73" s="88"/>
      <c r="D73" s="88"/>
      <c r="E73" s="88"/>
      <c r="F73" s="88"/>
      <c r="G73" s="114"/>
    </row>
    <row r="74">
      <c r="B74" s="87"/>
      <c r="C74" s="88"/>
      <c r="D74" s="88"/>
      <c r="E74" s="88"/>
      <c r="F74" s="88"/>
      <c r="G74" s="114"/>
    </row>
    <row r="75">
      <c r="B75" s="87"/>
      <c r="C75" s="88"/>
      <c r="D75" s="88"/>
      <c r="E75" s="88"/>
      <c r="F75" s="88"/>
      <c r="G75" s="114"/>
    </row>
    <row r="76">
      <c r="B76" s="87"/>
      <c r="C76" s="88"/>
      <c r="D76" s="88"/>
      <c r="E76" s="88"/>
      <c r="F76" s="88"/>
      <c r="G76" s="114"/>
    </row>
    <row r="77">
      <c r="B77" s="87"/>
      <c r="C77" s="88"/>
      <c r="D77" s="88"/>
      <c r="E77" s="88"/>
      <c r="F77" s="88"/>
      <c r="G77" s="114"/>
    </row>
    <row r="78">
      <c r="B78" s="87"/>
      <c r="C78" s="88"/>
      <c r="D78" s="88"/>
      <c r="E78" s="88"/>
      <c r="F78" s="88"/>
      <c r="G78" s="114"/>
    </row>
    <row r="79">
      <c r="B79" s="87"/>
      <c r="C79" s="88"/>
      <c r="D79" s="88"/>
      <c r="E79" s="88"/>
      <c r="F79" s="88"/>
      <c r="G79" s="114"/>
    </row>
    <row r="80">
      <c r="B80" s="87"/>
      <c r="C80" s="88"/>
      <c r="D80" s="88"/>
      <c r="E80" s="88"/>
      <c r="F80" s="88"/>
      <c r="G80" s="114"/>
    </row>
    <row r="81">
      <c r="B81" s="87"/>
      <c r="C81" s="88"/>
      <c r="D81" s="88"/>
      <c r="E81" s="88"/>
      <c r="F81" s="88"/>
      <c r="G81" s="114"/>
    </row>
    <row r="82">
      <c r="B82" s="87"/>
      <c r="C82" s="88"/>
      <c r="D82" s="88"/>
      <c r="E82" s="88"/>
      <c r="F82" s="88"/>
      <c r="G82" s="114"/>
    </row>
    <row r="83">
      <c r="B83" s="87"/>
      <c r="C83" s="88"/>
      <c r="D83" s="88"/>
      <c r="E83" s="88"/>
      <c r="F83" s="88"/>
      <c r="G83" s="114"/>
    </row>
    <row r="84">
      <c r="B84" s="87"/>
      <c r="C84" s="88"/>
      <c r="D84" s="88"/>
      <c r="E84" s="88"/>
      <c r="F84" s="88"/>
      <c r="G84" s="114"/>
    </row>
    <row r="85">
      <c r="B85" s="87"/>
      <c r="C85" s="88"/>
      <c r="D85" s="88"/>
      <c r="E85" s="88"/>
      <c r="F85" s="88"/>
      <c r="G85" s="114"/>
    </row>
    <row r="86">
      <c r="B86" s="87"/>
      <c r="C86" s="88"/>
      <c r="D86" s="88"/>
      <c r="E86" s="88"/>
      <c r="F86" s="88"/>
      <c r="G86" s="114"/>
    </row>
    <row r="87">
      <c r="B87" s="87"/>
      <c r="C87" s="88"/>
      <c r="D87" s="88"/>
      <c r="E87" s="88"/>
      <c r="F87" s="88"/>
      <c r="G87" s="114"/>
    </row>
    <row r="88">
      <c r="B88" s="87"/>
      <c r="C88" s="88"/>
      <c r="D88" s="88"/>
      <c r="E88" s="88"/>
      <c r="F88" s="88"/>
      <c r="G88" s="114"/>
    </row>
    <row r="89">
      <c r="B89" s="87"/>
      <c r="C89" s="88"/>
      <c r="D89" s="88"/>
      <c r="E89" s="88"/>
      <c r="F89" s="88"/>
      <c r="G89" s="114"/>
    </row>
    <row r="90">
      <c r="B90" s="87"/>
      <c r="C90" s="88"/>
      <c r="D90" s="88"/>
      <c r="E90" s="88"/>
      <c r="F90" s="88"/>
      <c r="G90" s="114"/>
    </row>
    <row r="91">
      <c r="B91" s="87"/>
      <c r="C91" s="88"/>
      <c r="D91" s="88"/>
      <c r="E91" s="88"/>
      <c r="F91" s="88"/>
      <c r="G91" s="114"/>
    </row>
    <row r="92">
      <c r="B92" s="87"/>
      <c r="C92" s="88"/>
      <c r="D92" s="88"/>
      <c r="E92" s="88"/>
      <c r="F92" s="88"/>
      <c r="G92" s="114"/>
    </row>
    <row r="93">
      <c r="B93" s="87"/>
      <c r="C93" s="88"/>
      <c r="D93" s="88"/>
      <c r="E93" s="88"/>
      <c r="F93" s="88"/>
      <c r="G93" s="114"/>
    </row>
    <row r="94">
      <c r="B94" s="87"/>
      <c r="C94" s="88"/>
      <c r="D94" s="88"/>
      <c r="E94" s="88"/>
      <c r="F94" s="88"/>
      <c r="G94" s="114"/>
    </row>
    <row r="95">
      <c r="B95" s="87"/>
      <c r="C95" s="88"/>
      <c r="D95" s="88"/>
      <c r="E95" s="88"/>
      <c r="F95" s="88"/>
      <c r="G95" s="114"/>
    </row>
    <row r="96">
      <c r="B96" s="87"/>
      <c r="C96" s="88"/>
      <c r="D96" s="88"/>
      <c r="E96" s="88"/>
      <c r="F96" s="88"/>
      <c r="G96" s="114"/>
    </row>
    <row r="97">
      <c r="B97" s="87"/>
      <c r="C97" s="88"/>
      <c r="D97" s="88"/>
      <c r="E97" s="88"/>
      <c r="F97" s="88"/>
      <c r="G97" s="114"/>
    </row>
    <row r="98">
      <c r="B98" s="87"/>
      <c r="C98" s="88"/>
      <c r="D98" s="88"/>
      <c r="E98" s="88"/>
      <c r="F98" s="88"/>
      <c r="G98" s="114"/>
    </row>
    <row r="99">
      <c r="B99" s="87"/>
      <c r="C99" s="88"/>
      <c r="D99" s="88"/>
      <c r="E99" s="88"/>
      <c r="F99" s="88"/>
      <c r="G99" s="114"/>
    </row>
    <row r="100">
      <c r="B100" s="87"/>
      <c r="C100" s="88"/>
      <c r="D100" s="88"/>
      <c r="E100" s="88"/>
      <c r="F100" s="88"/>
      <c r="G100" s="114"/>
    </row>
    <row r="101">
      <c r="B101" s="87"/>
      <c r="C101" s="88"/>
      <c r="D101" s="88"/>
      <c r="E101" s="88"/>
      <c r="F101" s="88"/>
      <c r="G101" s="114"/>
    </row>
    <row r="102">
      <c r="B102" s="87"/>
      <c r="C102" s="88"/>
      <c r="D102" s="88"/>
      <c r="E102" s="88"/>
      <c r="F102" s="88"/>
      <c r="G102" s="114"/>
    </row>
    <row r="103">
      <c r="B103" s="87"/>
      <c r="C103" s="88"/>
      <c r="D103" s="88"/>
      <c r="E103" s="88"/>
      <c r="F103" s="88"/>
      <c r="G103" s="114"/>
    </row>
    <row r="104">
      <c r="B104" s="87"/>
      <c r="C104" s="88"/>
      <c r="D104" s="88"/>
      <c r="E104" s="88"/>
      <c r="F104" s="88"/>
      <c r="G104" s="114"/>
    </row>
    <row r="105">
      <c r="B105" s="87"/>
      <c r="C105" s="88"/>
      <c r="D105" s="88"/>
      <c r="E105" s="88"/>
      <c r="F105" s="88"/>
      <c r="G105" s="114"/>
    </row>
    <row r="106">
      <c r="B106" s="87"/>
      <c r="C106" s="88"/>
      <c r="D106" s="88"/>
      <c r="E106" s="88"/>
      <c r="F106" s="88"/>
      <c r="G106" s="114"/>
    </row>
    <row r="107">
      <c r="B107" s="87"/>
      <c r="C107" s="88"/>
      <c r="D107" s="88"/>
      <c r="E107" s="88"/>
      <c r="F107" s="88"/>
      <c r="G107" s="114"/>
    </row>
    <row r="108">
      <c r="B108" s="87"/>
      <c r="C108" s="88"/>
      <c r="D108" s="88"/>
      <c r="E108" s="88"/>
      <c r="F108" s="88"/>
      <c r="G108" s="114"/>
    </row>
    <row r="109">
      <c r="B109" s="87"/>
      <c r="C109" s="88"/>
      <c r="D109" s="88"/>
      <c r="E109" s="88"/>
      <c r="F109" s="88"/>
      <c r="G109" s="114"/>
    </row>
    <row r="110">
      <c r="B110" s="87"/>
      <c r="C110" s="88"/>
      <c r="D110" s="88"/>
      <c r="E110" s="88"/>
      <c r="F110" s="88"/>
      <c r="G110" s="114"/>
    </row>
    <row r="111">
      <c r="B111" s="87"/>
      <c r="C111" s="88"/>
      <c r="D111" s="88"/>
      <c r="E111" s="88"/>
      <c r="F111" s="88"/>
      <c r="G111" s="114"/>
    </row>
    <row r="112">
      <c r="B112" s="87"/>
      <c r="C112" s="88"/>
      <c r="D112" s="88"/>
      <c r="E112" s="88"/>
      <c r="F112" s="88"/>
      <c r="G112" s="114"/>
    </row>
    <row r="113">
      <c r="B113" s="87"/>
      <c r="C113" s="88"/>
      <c r="D113" s="88"/>
      <c r="E113" s="88"/>
      <c r="F113" s="88"/>
      <c r="G113" s="114"/>
    </row>
    <row r="114">
      <c r="B114" s="87"/>
      <c r="C114" s="88"/>
      <c r="D114" s="88"/>
      <c r="E114" s="88"/>
      <c r="F114" s="88"/>
      <c r="G114" s="114"/>
    </row>
    <row r="115">
      <c r="B115" s="87"/>
      <c r="C115" s="88"/>
      <c r="D115" s="88"/>
      <c r="E115" s="88"/>
      <c r="F115" s="88"/>
      <c r="G115" s="114"/>
    </row>
    <row r="116">
      <c r="B116" s="87"/>
      <c r="C116" s="88"/>
      <c r="D116" s="88"/>
      <c r="E116" s="88"/>
      <c r="F116" s="88"/>
      <c r="G116" s="114"/>
    </row>
    <row r="117">
      <c r="B117" s="87"/>
      <c r="C117" s="88"/>
      <c r="D117" s="88"/>
      <c r="E117" s="88"/>
      <c r="F117" s="88"/>
      <c r="G117" s="114"/>
    </row>
    <row r="118">
      <c r="B118" s="87"/>
      <c r="C118" s="88"/>
      <c r="D118" s="88"/>
      <c r="E118" s="88"/>
      <c r="F118" s="88"/>
      <c r="G118" s="114"/>
    </row>
    <row r="119">
      <c r="B119" s="87"/>
      <c r="C119" s="88"/>
      <c r="D119" s="88"/>
      <c r="E119" s="88"/>
      <c r="F119" s="88"/>
      <c r="G119" s="114"/>
    </row>
    <row r="120">
      <c r="B120" s="87"/>
      <c r="C120" s="88"/>
      <c r="D120" s="88"/>
      <c r="E120" s="88"/>
      <c r="F120" s="88"/>
      <c r="G120" s="114"/>
    </row>
    <row r="121">
      <c r="B121" s="87"/>
      <c r="C121" s="88"/>
      <c r="D121" s="88"/>
      <c r="E121" s="88"/>
      <c r="F121" s="88"/>
      <c r="G121" s="114"/>
    </row>
    <row r="122">
      <c r="B122" s="87"/>
      <c r="C122" s="88"/>
      <c r="D122" s="88"/>
      <c r="E122" s="88"/>
      <c r="F122" s="88"/>
      <c r="G122" s="114"/>
    </row>
    <row r="123">
      <c r="B123" s="87"/>
      <c r="C123" s="88"/>
      <c r="D123" s="88"/>
      <c r="E123" s="88"/>
      <c r="F123" s="88"/>
      <c r="G123" s="114"/>
    </row>
    <row r="124">
      <c r="B124" s="87"/>
      <c r="C124" s="88"/>
      <c r="D124" s="88"/>
      <c r="E124" s="88"/>
      <c r="F124" s="88"/>
      <c r="G124" s="114"/>
    </row>
    <row r="125">
      <c r="B125" s="87"/>
      <c r="C125" s="88"/>
      <c r="D125" s="88"/>
      <c r="E125" s="88"/>
      <c r="F125" s="88"/>
      <c r="G125" s="114"/>
    </row>
    <row r="126">
      <c r="B126" s="87"/>
      <c r="C126" s="88"/>
      <c r="D126" s="88"/>
      <c r="E126" s="88"/>
      <c r="F126" s="88"/>
      <c r="G126" s="114"/>
    </row>
    <row r="127">
      <c r="B127" s="87"/>
      <c r="C127" s="88"/>
      <c r="D127" s="88"/>
      <c r="E127" s="88"/>
      <c r="F127" s="88"/>
      <c r="G127" s="114"/>
    </row>
    <row r="128">
      <c r="B128" s="87"/>
      <c r="C128" s="88"/>
      <c r="D128" s="88"/>
      <c r="E128" s="88"/>
      <c r="F128" s="88"/>
      <c r="G128" s="114"/>
    </row>
    <row r="129">
      <c r="B129" s="87"/>
      <c r="C129" s="88"/>
      <c r="D129" s="88"/>
      <c r="E129" s="88"/>
      <c r="F129" s="88"/>
      <c r="G129" s="114"/>
    </row>
    <row r="130">
      <c r="B130" s="87"/>
      <c r="C130" s="88"/>
      <c r="D130" s="88"/>
      <c r="E130" s="88"/>
      <c r="F130" s="88"/>
      <c r="G130" s="114"/>
    </row>
    <row r="131">
      <c r="B131" s="87"/>
      <c r="C131" s="88"/>
      <c r="D131" s="88"/>
      <c r="E131" s="88"/>
      <c r="F131" s="88"/>
      <c r="G131" s="114"/>
    </row>
    <row r="132">
      <c r="B132" s="87"/>
      <c r="C132" s="88"/>
      <c r="D132" s="88"/>
      <c r="E132" s="88"/>
      <c r="F132" s="88"/>
      <c r="G132" s="114"/>
    </row>
    <row r="133">
      <c r="B133" s="87"/>
      <c r="C133" s="88"/>
      <c r="D133" s="88"/>
      <c r="E133" s="88"/>
      <c r="F133" s="88"/>
      <c r="G133" s="114"/>
    </row>
    <row r="134">
      <c r="B134" s="87"/>
      <c r="C134" s="88"/>
      <c r="D134" s="88"/>
      <c r="E134" s="88"/>
      <c r="F134" s="88"/>
      <c r="G134" s="114"/>
    </row>
    <row r="135">
      <c r="B135" s="87"/>
      <c r="C135" s="88"/>
      <c r="D135" s="88"/>
      <c r="E135" s="88"/>
      <c r="F135" s="88"/>
      <c r="G135" s="114"/>
    </row>
    <row r="136">
      <c r="B136" s="87"/>
      <c r="C136" s="88"/>
      <c r="D136" s="88"/>
      <c r="E136" s="88"/>
      <c r="F136" s="88"/>
      <c r="G136" s="114"/>
    </row>
    <row r="137">
      <c r="B137" s="87"/>
      <c r="C137" s="88"/>
      <c r="D137" s="88"/>
      <c r="E137" s="88"/>
      <c r="F137" s="88"/>
      <c r="G137" s="114"/>
    </row>
    <row r="138">
      <c r="B138" s="87"/>
      <c r="C138" s="88"/>
      <c r="D138" s="88"/>
      <c r="E138" s="88"/>
      <c r="F138" s="88"/>
      <c r="G138" s="114"/>
    </row>
    <row r="139">
      <c r="B139" s="87"/>
      <c r="C139" s="88"/>
      <c r="D139" s="88"/>
      <c r="E139" s="88"/>
      <c r="F139" s="88"/>
      <c r="G139" s="114"/>
    </row>
    <row r="140">
      <c r="B140" s="87"/>
      <c r="C140" s="88"/>
      <c r="D140" s="88"/>
      <c r="E140" s="88"/>
      <c r="F140" s="88"/>
      <c r="G140" s="114"/>
    </row>
    <row r="141">
      <c r="B141" s="87"/>
      <c r="C141" s="88"/>
      <c r="D141" s="88"/>
      <c r="E141" s="88"/>
      <c r="F141" s="88"/>
      <c r="G141" s="114"/>
    </row>
    <row r="142">
      <c r="B142" s="87"/>
      <c r="C142" s="88"/>
      <c r="D142" s="88"/>
      <c r="E142" s="88"/>
      <c r="F142" s="88"/>
      <c r="G142" s="114"/>
    </row>
    <row r="143">
      <c r="B143" s="87"/>
      <c r="C143" s="88"/>
      <c r="D143" s="88"/>
      <c r="E143" s="88"/>
      <c r="F143" s="88"/>
      <c r="G143" s="114"/>
    </row>
    <row r="144">
      <c r="B144" s="87"/>
      <c r="C144" s="88"/>
      <c r="D144" s="88"/>
      <c r="E144" s="88"/>
      <c r="F144" s="88"/>
      <c r="G144" s="114"/>
    </row>
    <row r="145">
      <c r="B145" s="87"/>
      <c r="C145" s="88"/>
      <c r="D145" s="88"/>
      <c r="E145" s="88"/>
      <c r="F145" s="88"/>
      <c r="G145" s="114"/>
    </row>
    <row r="146">
      <c r="B146" s="87"/>
      <c r="C146" s="88"/>
      <c r="D146" s="88"/>
      <c r="E146" s="88"/>
      <c r="F146" s="88"/>
      <c r="G146" s="114"/>
    </row>
    <row r="147">
      <c r="B147" s="87"/>
      <c r="C147" s="88"/>
      <c r="D147" s="88"/>
      <c r="E147" s="88"/>
      <c r="F147" s="88"/>
      <c r="G147" s="114"/>
    </row>
    <row r="148">
      <c r="B148" s="87"/>
      <c r="C148" s="88"/>
      <c r="D148" s="88"/>
      <c r="E148" s="88"/>
      <c r="F148" s="88"/>
      <c r="G148" s="114"/>
    </row>
    <row r="149">
      <c r="B149" s="87"/>
      <c r="C149" s="88"/>
      <c r="D149" s="88"/>
      <c r="E149" s="88"/>
      <c r="F149" s="88"/>
      <c r="G149" s="114"/>
    </row>
    <row r="150">
      <c r="B150" s="87"/>
      <c r="C150" s="88"/>
      <c r="D150" s="88"/>
      <c r="E150" s="88"/>
      <c r="F150" s="88"/>
      <c r="G150" s="114"/>
    </row>
    <row r="151">
      <c r="B151" s="87"/>
      <c r="C151" s="88"/>
      <c r="D151" s="88"/>
      <c r="E151" s="88"/>
      <c r="F151" s="88"/>
      <c r="G151" s="114"/>
    </row>
    <row r="152">
      <c r="B152" s="87"/>
      <c r="C152" s="88"/>
      <c r="D152" s="88"/>
      <c r="E152" s="88"/>
      <c r="F152" s="88"/>
      <c r="G152" s="114"/>
    </row>
    <row r="153">
      <c r="B153" s="87"/>
      <c r="C153" s="88"/>
      <c r="D153" s="88"/>
      <c r="E153" s="88"/>
      <c r="F153" s="88"/>
      <c r="G153" s="114"/>
    </row>
    <row r="154">
      <c r="B154" s="87"/>
      <c r="C154" s="88"/>
      <c r="D154" s="88"/>
      <c r="E154" s="88"/>
      <c r="F154" s="88"/>
      <c r="G154" s="114"/>
    </row>
    <row r="155">
      <c r="B155" s="87"/>
      <c r="C155" s="88"/>
      <c r="D155" s="88"/>
      <c r="E155" s="88"/>
      <c r="F155" s="88"/>
      <c r="G155" s="114"/>
    </row>
    <row r="156">
      <c r="B156" s="87"/>
      <c r="C156" s="88"/>
      <c r="D156" s="88"/>
      <c r="E156" s="88"/>
      <c r="F156" s="88"/>
      <c r="G156" s="114"/>
    </row>
    <row r="157">
      <c r="B157" s="87"/>
      <c r="C157" s="88"/>
      <c r="D157" s="88"/>
      <c r="E157" s="88"/>
      <c r="F157" s="88"/>
      <c r="G157" s="114"/>
    </row>
    <row r="158">
      <c r="B158" s="87"/>
      <c r="C158" s="88"/>
      <c r="D158" s="88"/>
      <c r="E158" s="88"/>
      <c r="F158" s="88"/>
      <c r="G158" s="114"/>
    </row>
    <row r="159">
      <c r="B159" s="87"/>
      <c r="C159" s="88"/>
      <c r="D159" s="88"/>
      <c r="E159" s="88"/>
      <c r="F159" s="88"/>
      <c r="G159" s="114"/>
    </row>
    <row r="160">
      <c r="B160" s="87"/>
      <c r="C160" s="88"/>
      <c r="D160" s="88"/>
      <c r="E160" s="88"/>
      <c r="F160" s="88"/>
      <c r="G160" s="114"/>
    </row>
    <row r="161">
      <c r="B161" s="87"/>
      <c r="C161" s="88"/>
      <c r="D161" s="88"/>
      <c r="E161" s="88"/>
      <c r="F161" s="88"/>
      <c r="G161" s="114"/>
    </row>
    <row r="162">
      <c r="B162" s="87"/>
      <c r="C162" s="88"/>
      <c r="D162" s="88"/>
      <c r="E162" s="88"/>
      <c r="F162" s="88"/>
      <c r="G162" s="114"/>
    </row>
    <row r="163">
      <c r="B163" s="87"/>
      <c r="C163" s="88"/>
      <c r="D163" s="88"/>
      <c r="E163" s="88"/>
      <c r="F163" s="88"/>
      <c r="G163" s="114"/>
    </row>
    <row r="164">
      <c r="B164" s="87"/>
      <c r="C164" s="88"/>
      <c r="D164" s="88"/>
      <c r="E164" s="88"/>
      <c r="F164" s="88"/>
      <c r="G164" s="114"/>
    </row>
    <row r="165">
      <c r="B165" s="87"/>
      <c r="C165" s="88"/>
      <c r="D165" s="88"/>
      <c r="E165" s="88"/>
      <c r="F165" s="88"/>
      <c r="G165" s="114"/>
    </row>
    <row r="166">
      <c r="B166" s="87"/>
      <c r="C166" s="88"/>
      <c r="D166" s="88"/>
      <c r="E166" s="88"/>
      <c r="F166" s="88"/>
      <c r="G166" s="114"/>
    </row>
    <row r="167">
      <c r="B167" s="87"/>
      <c r="C167" s="88"/>
      <c r="D167" s="88"/>
      <c r="E167" s="88"/>
      <c r="F167" s="88"/>
      <c r="G167" s="114"/>
    </row>
    <row r="168">
      <c r="B168" s="87"/>
      <c r="C168" s="88"/>
      <c r="D168" s="88"/>
      <c r="E168" s="88"/>
      <c r="F168" s="88"/>
      <c r="G168" s="114"/>
    </row>
    <row r="169">
      <c r="B169" s="87"/>
      <c r="C169" s="88"/>
      <c r="D169" s="88"/>
      <c r="E169" s="88"/>
      <c r="F169" s="88"/>
      <c r="G169" s="114"/>
    </row>
    <row r="170">
      <c r="B170" s="87"/>
      <c r="C170" s="88"/>
      <c r="D170" s="88"/>
      <c r="E170" s="88"/>
      <c r="F170" s="88"/>
      <c r="G170" s="114"/>
    </row>
    <row r="171">
      <c r="B171" s="87"/>
      <c r="C171" s="88"/>
      <c r="D171" s="88"/>
      <c r="E171" s="88"/>
      <c r="F171" s="88"/>
      <c r="G171" s="114"/>
    </row>
    <row r="172">
      <c r="B172" s="87"/>
      <c r="C172" s="88"/>
      <c r="D172" s="88"/>
      <c r="E172" s="88"/>
      <c r="F172" s="88"/>
      <c r="G172" s="114"/>
    </row>
    <row r="173">
      <c r="B173" s="87"/>
      <c r="C173" s="88"/>
      <c r="D173" s="88"/>
      <c r="E173" s="88"/>
      <c r="F173" s="88"/>
      <c r="G173" s="114"/>
    </row>
    <row r="174">
      <c r="B174" s="87"/>
      <c r="C174" s="88"/>
      <c r="D174" s="88"/>
      <c r="E174" s="88"/>
      <c r="F174" s="88"/>
      <c r="G174" s="114"/>
    </row>
    <row r="175">
      <c r="B175" s="87"/>
      <c r="C175" s="88"/>
      <c r="D175" s="88"/>
      <c r="E175" s="88"/>
      <c r="F175" s="88"/>
      <c r="G175" s="114"/>
    </row>
    <row r="176">
      <c r="B176" s="87"/>
      <c r="C176" s="88"/>
      <c r="D176" s="88"/>
      <c r="E176" s="88"/>
      <c r="F176" s="88"/>
      <c r="G176" s="114"/>
    </row>
    <row r="177">
      <c r="B177" s="87"/>
      <c r="C177" s="88"/>
      <c r="D177" s="88"/>
      <c r="E177" s="88"/>
      <c r="F177" s="88"/>
      <c r="G177" s="114"/>
    </row>
    <row r="178">
      <c r="B178" s="87"/>
      <c r="C178" s="88"/>
      <c r="D178" s="88"/>
      <c r="E178" s="88"/>
      <c r="F178" s="88"/>
      <c r="G178" s="114"/>
    </row>
    <row r="179">
      <c r="B179" s="87"/>
      <c r="C179" s="88"/>
      <c r="D179" s="88"/>
      <c r="E179" s="88"/>
      <c r="F179" s="88"/>
      <c r="G179" s="114"/>
    </row>
    <row r="180">
      <c r="B180" s="87"/>
      <c r="C180" s="88"/>
      <c r="D180" s="88"/>
      <c r="E180" s="88"/>
      <c r="F180" s="88"/>
      <c r="G180" s="114"/>
    </row>
    <row r="181">
      <c r="B181" s="87"/>
      <c r="C181" s="88"/>
      <c r="D181" s="88"/>
      <c r="E181" s="88"/>
      <c r="F181" s="88"/>
      <c r="G181" s="114"/>
    </row>
    <row r="182">
      <c r="B182" s="87"/>
      <c r="C182" s="88"/>
      <c r="D182" s="88"/>
      <c r="E182" s="88"/>
      <c r="F182" s="88"/>
      <c r="G182" s="114"/>
    </row>
    <row r="183">
      <c r="B183" s="87"/>
      <c r="C183" s="88"/>
      <c r="D183" s="88"/>
      <c r="E183" s="88"/>
      <c r="F183" s="88"/>
      <c r="G183" s="114"/>
    </row>
    <row r="184">
      <c r="B184" s="87"/>
      <c r="C184" s="88"/>
      <c r="D184" s="88"/>
      <c r="E184" s="88"/>
      <c r="F184" s="88"/>
      <c r="G184" s="114"/>
    </row>
    <row r="185">
      <c r="B185" s="87"/>
      <c r="C185" s="88"/>
      <c r="D185" s="88"/>
      <c r="E185" s="88"/>
      <c r="F185" s="88"/>
      <c r="G185" s="114"/>
    </row>
    <row r="186">
      <c r="B186" s="87"/>
      <c r="C186" s="88"/>
      <c r="D186" s="88"/>
      <c r="E186" s="88"/>
      <c r="F186" s="88"/>
      <c r="G186" s="114"/>
    </row>
    <row r="187">
      <c r="B187" s="87"/>
      <c r="C187" s="88"/>
      <c r="D187" s="88"/>
      <c r="E187" s="88"/>
      <c r="F187" s="88"/>
      <c r="G187" s="114"/>
    </row>
    <row r="188">
      <c r="B188" s="87"/>
      <c r="C188" s="88"/>
      <c r="D188" s="88"/>
      <c r="E188" s="88"/>
      <c r="F188" s="88"/>
      <c r="G188" s="114"/>
    </row>
    <row r="189">
      <c r="B189" s="87"/>
      <c r="C189" s="88"/>
      <c r="D189" s="88"/>
      <c r="E189" s="88"/>
      <c r="F189" s="88"/>
      <c r="G189" s="114"/>
    </row>
    <row r="190">
      <c r="B190" s="87"/>
      <c r="C190" s="88"/>
      <c r="D190" s="88"/>
      <c r="E190" s="88"/>
      <c r="F190" s="88"/>
      <c r="G190" s="114"/>
    </row>
    <row r="191">
      <c r="B191" s="87"/>
      <c r="C191" s="88"/>
      <c r="D191" s="88"/>
      <c r="E191" s="88"/>
      <c r="F191" s="88"/>
      <c r="G191" s="114"/>
    </row>
    <row r="192">
      <c r="B192" s="87"/>
      <c r="C192" s="88"/>
      <c r="D192" s="88"/>
      <c r="E192" s="88"/>
      <c r="F192" s="88"/>
      <c r="G192" s="114"/>
    </row>
    <row r="193">
      <c r="B193" s="87"/>
      <c r="C193" s="88"/>
      <c r="D193" s="88"/>
      <c r="E193" s="88"/>
      <c r="F193" s="88"/>
      <c r="G193" s="114"/>
    </row>
    <row r="194">
      <c r="B194" s="87"/>
      <c r="C194" s="88"/>
      <c r="D194" s="88"/>
      <c r="E194" s="88"/>
      <c r="F194" s="88"/>
      <c r="G194" s="114"/>
    </row>
    <row r="195">
      <c r="B195" s="87"/>
      <c r="C195" s="88"/>
      <c r="D195" s="88"/>
      <c r="E195" s="88"/>
      <c r="F195" s="88"/>
      <c r="G195" s="114"/>
    </row>
    <row r="196">
      <c r="B196" s="87"/>
      <c r="C196" s="88"/>
      <c r="D196" s="88"/>
      <c r="E196" s="88"/>
      <c r="F196" s="88"/>
      <c r="G196" s="114"/>
    </row>
    <row r="197">
      <c r="B197" s="87"/>
      <c r="C197" s="88"/>
      <c r="D197" s="88"/>
      <c r="E197" s="88"/>
      <c r="F197" s="88"/>
      <c r="G197" s="114"/>
    </row>
    <row r="198">
      <c r="B198" s="87"/>
      <c r="C198" s="88"/>
      <c r="D198" s="88"/>
      <c r="E198" s="88"/>
      <c r="F198" s="88"/>
      <c r="G198" s="114"/>
    </row>
    <row r="199">
      <c r="B199" s="87"/>
      <c r="C199" s="88"/>
      <c r="D199" s="88"/>
      <c r="E199" s="88"/>
      <c r="F199" s="88"/>
      <c r="G199" s="114"/>
    </row>
    <row r="200">
      <c r="B200" s="87"/>
      <c r="C200" s="88"/>
      <c r="D200" s="88"/>
      <c r="E200" s="88"/>
      <c r="F200" s="88"/>
      <c r="G200" s="114"/>
    </row>
    <row r="201">
      <c r="B201" s="87"/>
      <c r="C201" s="88"/>
      <c r="D201" s="88"/>
      <c r="E201" s="88"/>
      <c r="F201" s="88"/>
      <c r="G201" s="114"/>
    </row>
    <row r="202">
      <c r="B202" s="87"/>
      <c r="C202" s="88"/>
      <c r="D202" s="88"/>
      <c r="E202" s="88"/>
      <c r="F202" s="88"/>
      <c r="G202" s="114"/>
    </row>
    <row r="203">
      <c r="B203" s="87"/>
      <c r="C203" s="88"/>
      <c r="D203" s="88"/>
      <c r="E203" s="88"/>
      <c r="F203" s="88"/>
      <c r="G203" s="114"/>
    </row>
    <row r="204">
      <c r="B204" s="87"/>
      <c r="C204" s="88"/>
      <c r="D204" s="88"/>
      <c r="E204" s="88"/>
      <c r="F204" s="88"/>
      <c r="G204" s="114"/>
    </row>
    <row r="205">
      <c r="B205" s="87"/>
      <c r="C205" s="88"/>
      <c r="D205" s="88"/>
      <c r="E205" s="88"/>
      <c r="F205" s="88"/>
      <c r="G205" s="114"/>
    </row>
    <row r="206">
      <c r="B206" s="87"/>
      <c r="C206" s="88"/>
      <c r="D206" s="88"/>
      <c r="E206" s="88"/>
      <c r="F206" s="88"/>
      <c r="G206" s="114"/>
    </row>
    <row r="207">
      <c r="B207" s="87"/>
      <c r="C207" s="88"/>
      <c r="D207" s="88"/>
      <c r="E207" s="88"/>
      <c r="F207" s="88"/>
      <c r="G207" s="114"/>
    </row>
    <row r="208">
      <c r="B208" s="87"/>
      <c r="C208" s="88"/>
      <c r="D208" s="88"/>
      <c r="E208" s="88"/>
      <c r="F208" s="88"/>
      <c r="G208" s="114"/>
    </row>
    <row r="209">
      <c r="B209" s="87"/>
      <c r="C209" s="88"/>
      <c r="D209" s="88"/>
      <c r="E209" s="88"/>
      <c r="F209" s="88"/>
      <c r="G209" s="114"/>
    </row>
    <row r="210">
      <c r="B210" s="87"/>
      <c r="C210" s="88"/>
      <c r="D210" s="88"/>
      <c r="E210" s="88"/>
      <c r="F210" s="88"/>
      <c r="G210" s="114"/>
    </row>
    <row r="211">
      <c r="B211" s="87"/>
      <c r="C211" s="88"/>
      <c r="D211" s="88"/>
      <c r="E211" s="88"/>
      <c r="F211" s="88"/>
      <c r="G211" s="114"/>
    </row>
    <row r="212">
      <c r="B212" s="87"/>
      <c r="C212" s="88"/>
      <c r="D212" s="88"/>
      <c r="E212" s="88"/>
      <c r="F212" s="88"/>
      <c r="G212" s="114"/>
    </row>
    <row r="213">
      <c r="B213" s="87"/>
      <c r="C213" s="88"/>
      <c r="D213" s="88"/>
      <c r="E213" s="88"/>
      <c r="F213" s="88"/>
      <c r="G213" s="114"/>
    </row>
    <row r="214">
      <c r="B214" s="87"/>
      <c r="C214" s="88"/>
      <c r="D214" s="88"/>
      <c r="E214" s="88"/>
      <c r="F214" s="88"/>
      <c r="G214" s="114"/>
    </row>
    <row r="215">
      <c r="B215" s="87"/>
      <c r="C215" s="88"/>
      <c r="D215" s="88"/>
      <c r="E215" s="88"/>
      <c r="F215" s="88"/>
      <c r="G215" s="114"/>
    </row>
    <row r="216">
      <c r="B216" s="87"/>
      <c r="C216" s="88"/>
      <c r="D216" s="88"/>
      <c r="E216" s="88"/>
      <c r="F216" s="88"/>
      <c r="G216" s="114"/>
    </row>
    <row r="217">
      <c r="B217" s="87"/>
      <c r="C217" s="88"/>
      <c r="D217" s="88"/>
      <c r="E217" s="88"/>
      <c r="F217" s="88"/>
      <c r="G217" s="114"/>
    </row>
    <row r="218">
      <c r="B218" s="87"/>
      <c r="C218" s="88"/>
      <c r="D218" s="88"/>
      <c r="E218" s="88"/>
      <c r="F218" s="88"/>
      <c r="G218" s="114"/>
    </row>
    <row r="219">
      <c r="B219" s="87"/>
      <c r="C219" s="88"/>
      <c r="D219" s="88"/>
      <c r="E219" s="88"/>
      <c r="F219" s="88"/>
      <c r="G219" s="114"/>
    </row>
    <row r="220">
      <c r="B220" s="87"/>
      <c r="C220" s="88"/>
      <c r="D220" s="88"/>
      <c r="E220" s="88"/>
      <c r="F220" s="88"/>
      <c r="G220" s="114"/>
    </row>
    <row r="221">
      <c r="B221" s="87"/>
      <c r="C221" s="88"/>
      <c r="D221" s="88"/>
      <c r="E221" s="88"/>
      <c r="F221" s="88"/>
      <c r="G221" s="114"/>
    </row>
    <row r="222">
      <c r="B222" s="87"/>
      <c r="C222" s="88"/>
      <c r="D222" s="88"/>
      <c r="E222" s="88"/>
      <c r="F222" s="88"/>
      <c r="G222" s="114"/>
    </row>
    <row r="223">
      <c r="B223" s="87"/>
      <c r="C223" s="88"/>
      <c r="D223" s="88"/>
      <c r="E223" s="88"/>
      <c r="F223" s="88"/>
      <c r="G223" s="114"/>
    </row>
    <row r="224">
      <c r="B224" s="87"/>
      <c r="C224" s="88"/>
      <c r="D224" s="88"/>
      <c r="E224" s="88"/>
      <c r="F224" s="88"/>
      <c r="G224" s="114"/>
    </row>
    <row r="225">
      <c r="B225" s="87"/>
      <c r="C225" s="88"/>
      <c r="D225" s="88"/>
      <c r="E225" s="88"/>
      <c r="F225" s="88"/>
      <c r="G225" s="114"/>
    </row>
    <row r="226">
      <c r="B226" s="87"/>
      <c r="C226" s="88"/>
      <c r="D226" s="88"/>
      <c r="E226" s="88"/>
      <c r="F226" s="88"/>
      <c r="G226" s="114"/>
    </row>
    <row r="227">
      <c r="B227" s="87"/>
      <c r="C227" s="88"/>
      <c r="D227" s="88"/>
      <c r="E227" s="88"/>
      <c r="F227" s="88"/>
      <c r="G227" s="114"/>
    </row>
    <row r="228">
      <c r="B228" s="87"/>
      <c r="C228" s="88"/>
      <c r="D228" s="88"/>
      <c r="E228" s="88"/>
      <c r="F228" s="88"/>
      <c r="G228" s="114"/>
    </row>
    <row r="229">
      <c r="B229" s="87"/>
      <c r="C229" s="88"/>
      <c r="D229" s="88"/>
      <c r="E229" s="88"/>
      <c r="F229" s="88"/>
      <c r="G229" s="114"/>
    </row>
    <row r="230">
      <c r="B230" s="87"/>
      <c r="C230" s="88"/>
      <c r="D230" s="88"/>
      <c r="E230" s="88"/>
      <c r="F230" s="88"/>
      <c r="G230" s="114"/>
    </row>
    <row r="231">
      <c r="B231" s="87"/>
      <c r="C231" s="88"/>
      <c r="D231" s="88"/>
      <c r="E231" s="88"/>
      <c r="F231" s="88"/>
      <c r="G231" s="114"/>
    </row>
    <row r="232">
      <c r="B232" s="87"/>
      <c r="C232" s="88"/>
      <c r="D232" s="88"/>
      <c r="E232" s="88"/>
      <c r="F232" s="88"/>
      <c r="G232" s="114"/>
    </row>
    <row r="233">
      <c r="B233" s="87"/>
      <c r="C233" s="88"/>
      <c r="D233" s="88"/>
      <c r="E233" s="88"/>
      <c r="F233" s="88"/>
      <c r="G233" s="114"/>
    </row>
    <row r="234">
      <c r="B234" s="87"/>
      <c r="C234" s="88"/>
      <c r="D234" s="88"/>
      <c r="E234" s="88"/>
      <c r="F234" s="88"/>
      <c r="G234" s="114"/>
    </row>
    <row r="235">
      <c r="B235" s="87"/>
      <c r="C235" s="88"/>
      <c r="D235" s="88"/>
      <c r="E235" s="88"/>
      <c r="F235" s="88"/>
      <c r="G235" s="114"/>
    </row>
    <row r="236">
      <c r="B236" s="87"/>
      <c r="C236" s="88"/>
      <c r="D236" s="88"/>
      <c r="E236" s="88"/>
      <c r="F236" s="88"/>
      <c r="G236" s="114"/>
    </row>
    <row r="237">
      <c r="B237" s="87"/>
      <c r="C237" s="88"/>
      <c r="D237" s="88"/>
      <c r="E237" s="88"/>
      <c r="F237" s="88"/>
      <c r="G237" s="114"/>
    </row>
    <row r="238">
      <c r="B238" s="87"/>
      <c r="C238" s="88"/>
      <c r="D238" s="88"/>
      <c r="E238" s="88"/>
      <c r="F238" s="88"/>
      <c r="G238" s="114"/>
    </row>
    <row r="239">
      <c r="B239" s="87"/>
      <c r="C239" s="88"/>
      <c r="D239" s="88"/>
      <c r="E239" s="88"/>
      <c r="F239" s="88"/>
      <c r="G239" s="114"/>
    </row>
    <row r="240">
      <c r="B240" s="87"/>
      <c r="C240" s="88"/>
      <c r="D240" s="88"/>
      <c r="E240" s="88"/>
      <c r="F240" s="88"/>
      <c r="G240" s="114"/>
    </row>
    <row r="241">
      <c r="B241" s="87"/>
      <c r="C241" s="88"/>
      <c r="D241" s="88"/>
      <c r="E241" s="88"/>
      <c r="F241" s="88"/>
      <c r="G241" s="114"/>
    </row>
    <row r="242">
      <c r="B242" s="87"/>
      <c r="C242" s="88"/>
      <c r="D242" s="88"/>
      <c r="E242" s="88"/>
      <c r="F242" s="88"/>
      <c r="G242" s="114"/>
    </row>
    <row r="243">
      <c r="B243" s="87"/>
      <c r="C243" s="88"/>
      <c r="D243" s="88"/>
      <c r="E243" s="88"/>
      <c r="F243" s="88"/>
      <c r="G243" s="114"/>
    </row>
    <row r="244">
      <c r="B244" s="87"/>
      <c r="C244" s="88"/>
      <c r="D244" s="88"/>
      <c r="E244" s="88"/>
      <c r="F244" s="88"/>
      <c r="G244" s="114"/>
    </row>
    <row r="245">
      <c r="B245" s="87"/>
      <c r="C245" s="88"/>
      <c r="D245" s="88"/>
      <c r="E245" s="88"/>
      <c r="F245" s="88"/>
      <c r="G245" s="114"/>
    </row>
    <row r="246">
      <c r="B246" s="87"/>
      <c r="C246" s="88"/>
      <c r="D246" s="88"/>
      <c r="E246" s="88"/>
      <c r="F246" s="88"/>
      <c r="G246" s="114"/>
    </row>
    <row r="247">
      <c r="B247" s="87"/>
      <c r="C247" s="88"/>
      <c r="D247" s="88"/>
      <c r="E247" s="88"/>
      <c r="F247" s="88"/>
      <c r="G247" s="114"/>
    </row>
    <row r="248">
      <c r="B248" s="87"/>
      <c r="C248" s="88"/>
      <c r="D248" s="88"/>
      <c r="E248" s="88"/>
      <c r="F248" s="88"/>
      <c r="G248" s="114"/>
    </row>
    <row r="249">
      <c r="B249" s="87"/>
      <c r="C249" s="88"/>
      <c r="D249" s="88"/>
      <c r="E249" s="88"/>
      <c r="F249" s="88"/>
      <c r="G249" s="114"/>
    </row>
    <row r="250">
      <c r="B250" s="87"/>
      <c r="C250" s="88"/>
      <c r="D250" s="88"/>
      <c r="E250" s="88"/>
      <c r="F250" s="88"/>
      <c r="G250" s="114"/>
    </row>
    <row r="251">
      <c r="B251" s="87"/>
      <c r="C251" s="88"/>
      <c r="D251" s="88"/>
      <c r="E251" s="88"/>
      <c r="F251" s="88"/>
      <c r="G251" s="114"/>
    </row>
    <row r="252">
      <c r="B252" s="87"/>
      <c r="C252" s="88"/>
      <c r="D252" s="88"/>
      <c r="E252" s="88"/>
      <c r="F252" s="88"/>
      <c r="G252" s="114"/>
    </row>
    <row r="253">
      <c r="B253" s="87"/>
      <c r="C253" s="88"/>
      <c r="D253" s="88"/>
      <c r="E253" s="88"/>
      <c r="F253" s="88"/>
      <c r="G253" s="114"/>
    </row>
    <row r="254">
      <c r="B254" s="87"/>
      <c r="C254" s="88"/>
      <c r="D254" s="88"/>
      <c r="E254" s="88"/>
      <c r="F254" s="88"/>
      <c r="G254" s="114"/>
    </row>
    <row r="255">
      <c r="B255" s="87"/>
      <c r="C255" s="88"/>
      <c r="D255" s="88"/>
      <c r="E255" s="88"/>
      <c r="F255" s="88"/>
      <c r="G255" s="114"/>
    </row>
    <row r="256">
      <c r="B256" s="87"/>
      <c r="C256" s="88"/>
      <c r="D256" s="88"/>
      <c r="E256" s="88"/>
      <c r="F256" s="88"/>
      <c r="G256" s="114"/>
    </row>
    <row r="257">
      <c r="B257" s="87"/>
      <c r="C257" s="88"/>
      <c r="D257" s="88"/>
      <c r="E257" s="88"/>
      <c r="F257" s="88"/>
      <c r="G257" s="114"/>
    </row>
    <row r="258">
      <c r="B258" s="87"/>
      <c r="C258" s="88"/>
      <c r="D258" s="88"/>
      <c r="E258" s="88"/>
      <c r="F258" s="88"/>
      <c r="G258" s="114"/>
    </row>
    <row r="259">
      <c r="B259" s="87"/>
      <c r="C259" s="88"/>
      <c r="D259" s="88"/>
      <c r="E259" s="88"/>
      <c r="F259" s="88"/>
      <c r="G259" s="114"/>
    </row>
    <row r="260">
      <c r="B260" s="87"/>
      <c r="C260" s="88"/>
      <c r="D260" s="88"/>
      <c r="E260" s="88"/>
      <c r="F260" s="88"/>
      <c r="G260" s="114"/>
    </row>
    <row r="261">
      <c r="B261" s="87"/>
      <c r="C261" s="88"/>
      <c r="D261" s="88"/>
      <c r="E261" s="88"/>
      <c r="F261" s="88"/>
      <c r="G261" s="114"/>
    </row>
    <row r="262">
      <c r="B262" s="87"/>
      <c r="C262" s="88"/>
      <c r="D262" s="88"/>
      <c r="E262" s="88"/>
      <c r="F262" s="88"/>
      <c r="G262" s="114"/>
    </row>
    <row r="263">
      <c r="B263" s="87"/>
      <c r="C263" s="88"/>
      <c r="D263" s="88"/>
      <c r="E263" s="88"/>
      <c r="F263" s="88"/>
      <c r="G263" s="114"/>
    </row>
    <row r="264">
      <c r="B264" s="87"/>
      <c r="C264" s="88"/>
      <c r="D264" s="88"/>
      <c r="E264" s="88"/>
      <c r="F264" s="88"/>
      <c r="G264" s="114"/>
    </row>
    <row r="265">
      <c r="B265" s="87"/>
      <c r="C265" s="88"/>
      <c r="D265" s="88"/>
      <c r="E265" s="88"/>
      <c r="F265" s="88"/>
      <c r="G265" s="114"/>
    </row>
    <row r="266">
      <c r="B266" s="87"/>
      <c r="C266" s="88"/>
      <c r="D266" s="88"/>
      <c r="E266" s="88"/>
      <c r="F266" s="88"/>
      <c r="G266" s="114"/>
    </row>
    <row r="267">
      <c r="B267" s="87"/>
      <c r="C267" s="88"/>
      <c r="D267" s="88"/>
      <c r="E267" s="88"/>
      <c r="F267" s="88"/>
      <c r="G267" s="114"/>
    </row>
    <row r="268">
      <c r="B268" s="87"/>
      <c r="C268" s="88"/>
      <c r="D268" s="88"/>
      <c r="E268" s="88"/>
      <c r="F268" s="88"/>
      <c r="G268" s="114"/>
    </row>
    <row r="269">
      <c r="B269" s="87"/>
      <c r="C269" s="88"/>
      <c r="D269" s="88"/>
      <c r="E269" s="88"/>
      <c r="F269" s="88"/>
      <c r="G269" s="114"/>
    </row>
    <row r="270">
      <c r="B270" s="87"/>
      <c r="C270" s="88"/>
      <c r="D270" s="88"/>
      <c r="E270" s="88"/>
      <c r="F270" s="88"/>
      <c r="G270" s="114"/>
    </row>
    <row r="271">
      <c r="B271" s="87"/>
      <c r="C271" s="88"/>
      <c r="D271" s="88"/>
      <c r="E271" s="88"/>
      <c r="F271" s="88"/>
      <c r="G271" s="114"/>
    </row>
    <row r="272">
      <c r="B272" s="87"/>
      <c r="C272" s="88"/>
      <c r="D272" s="88"/>
      <c r="E272" s="88"/>
      <c r="F272" s="88"/>
      <c r="G272" s="114"/>
    </row>
    <row r="273">
      <c r="B273" s="87"/>
      <c r="C273" s="88"/>
      <c r="D273" s="88"/>
      <c r="E273" s="88"/>
      <c r="F273" s="88"/>
      <c r="G273" s="114"/>
    </row>
    <row r="274">
      <c r="B274" s="87"/>
      <c r="C274" s="88"/>
      <c r="D274" s="88"/>
      <c r="E274" s="88"/>
      <c r="F274" s="88"/>
      <c r="G274" s="114"/>
    </row>
    <row r="275">
      <c r="B275" s="87"/>
      <c r="C275" s="88"/>
      <c r="D275" s="88"/>
      <c r="E275" s="88"/>
      <c r="F275" s="88"/>
      <c r="G275" s="114"/>
    </row>
    <row r="276">
      <c r="B276" s="87"/>
      <c r="C276" s="88"/>
      <c r="D276" s="88"/>
      <c r="E276" s="88"/>
      <c r="F276" s="88"/>
      <c r="G276" s="114"/>
    </row>
    <row r="277">
      <c r="B277" s="87"/>
      <c r="C277" s="88"/>
      <c r="D277" s="88"/>
      <c r="E277" s="88"/>
      <c r="F277" s="88"/>
      <c r="G277" s="114"/>
    </row>
    <row r="278">
      <c r="B278" s="87"/>
      <c r="C278" s="88"/>
      <c r="D278" s="88"/>
      <c r="E278" s="88"/>
      <c r="F278" s="88"/>
      <c r="G278" s="114"/>
    </row>
    <row r="279">
      <c r="B279" s="87"/>
      <c r="C279" s="88"/>
      <c r="D279" s="88"/>
      <c r="E279" s="88"/>
      <c r="F279" s="88"/>
      <c r="G279" s="114"/>
    </row>
    <row r="280">
      <c r="B280" s="87"/>
      <c r="C280" s="88"/>
      <c r="D280" s="88"/>
      <c r="E280" s="88"/>
      <c r="F280" s="88"/>
      <c r="G280" s="114"/>
    </row>
    <row r="281">
      <c r="B281" s="87"/>
      <c r="C281" s="88"/>
      <c r="D281" s="88"/>
      <c r="E281" s="88"/>
      <c r="F281" s="88"/>
      <c r="G281" s="114"/>
    </row>
    <row r="282">
      <c r="B282" s="87"/>
      <c r="C282" s="88"/>
      <c r="D282" s="88"/>
      <c r="E282" s="88"/>
      <c r="F282" s="88"/>
      <c r="G282" s="114"/>
    </row>
    <row r="283">
      <c r="B283" s="87"/>
      <c r="C283" s="88"/>
      <c r="D283" s="88"/>
      <c r="E283" s="88"/>
      <c r="F283" s="88"/>
      <c r="G283" s="114"/>
    </row>
    <row r="284">
      <c r="B284" s="87"/>
      <c r="C284" s="88"/>
      <c r="D284" s="88"/>
      <c r="E284" s="88"/>
      <c r="F284" s="88"/>
      <c r="G284" s="114"/>
    </row>
    <row r="285">
      <c r="B285" s="87"/>
      <c r="C285" s="88"/>
      <c r="D285" s="88"/>
      <c r="E285" s="88"/>
      <c r="F285" s="88"/>
      <c r="G285" s="114"/>
    </row>
    <row r="286">
      <c r="B286" s="87"/>
      <c r="C286" s="88"/>
      <c r="D286" s="88"/>
      <c r="E286" s="88"/>
      <c r="F286" s="88"/>
      <c r="G286" s="114"/>
    </row>
    <row r="287">
      <c r="B287" s="87"/>
      <c r="C287" s="88"/>
      <c r="D287" s="88"/>
      <c r="E287" s="88"/>
      <c r="F287" s="88"/>
      <c r="G287" s="114"/>
    </row>
    <row r="288">
      <c r="B288" s="87"/>
      <c r="C288" s="88"/>
      <c r="D288" s="88"/>
      <c r="E288" s="88"/>
      <c r="F288" s="88"/>
      <c r="G288" s="114"/>
    </row>
    <row r="289">
      <c r="B289" s="87"/>
      <c r="C289" s="88"/>
      <c r="D289" s="88"/>
      <c r="E289" s="88"/>
      <c r="F289" s="88"/>
      <c r="G289" s="114"/>
    </row>
    <row r="290">
      <c r="B290" s="87"/>
      <c r="C290" s="88"/>
      <c r="D290" s="88"/>
      <c r="E290" s="88"/>
      <c r="F290" s="88"/>
      <c r="G290" s="114"/>
    </row>
    <row r="291">
      <c r="B291" s="87"/>
      <c r="C291" s="88"/>
      <c r="D291" s="88"/>
      <c r="E291" s="88"/>
      <c r="F291" s="88"/>
      <c r="G291" s="114"/>
    </row>
    <row r="292">
      <c r="B292" s="87"/>
      <c r="C292" s="88"/>
      <c r="D292" s="88"/>
      <c r="E292" s="88"/>
      <c r="F292" s="88"/>
      <c r="G292" s="114"/>
    </row>
    <row r="293">
      <c r="B293" s="87"/>
      <c r="C293" s="88"/>
      <c r="D293" s="88"/>
      <c r="E293" s="88"/>
      <c r="F293" s="88"/>
      <c r="G293" s="114"/>
    </row>
    <row r="294">
      <c r="B294" s="87"/>
      <c r="C294" s="88"/>
      <c r="D294" s="88"/>
      <c r="E294" s="88"/>
      <c r="F294" s="88"/>
      <c r="G294" s="114"/>
    </row>
    <row r="295">
      <c r="B295" s="87"/>
      <c r="C295" s="88"/>
      <c r="D295" s="88"/>
      <c r="E295" s="88"/>
      <c r="F295" s="88"/>
      <c r="G295" s="114"/>
    </row>
    <row r="296">
      <c r="B296" s="87"/>
      <c r="C296" s="88"/>
      <c r="D296" s="88"/>
      <c r="E296" s="88"/>
      <c r="F296" s="88"/>
      <c r="G296" s="114"/>
    </row>
    <row r="297">
      <c r="B297" s="87"/>
      <c r="C297" s="88"/>
      <c r="D297" s="88"/>
      <c r="E297" s="88"/>
      <c r="F297" s="88"/>
      <c r="G297" s="114"/>
    </row>
    <row r="298">
      <c r="B298" s="87"/>
      <c r="C298" s="88"/>
      <c r="D298" s="88"/>
      <c r="E298" s="88"/>
      <c r="F298" s="88"/>
      <c r="G298" s="114"/>
    </row>
    <row r="299">
      <c r="B299" s="87"/>
      <c r="C299" s="88"/>
      <c r="D299" s="88"/>
      <c r="E299" s="88"/>
      <c r="F299" s="88"/>
      <c r="G299" s="114"/>
    </row>
    <row r="300">
      <c r="B300" s="87"/>
      <c r="C300" s="88"/>
      <c r="D300" s="88"/>
      <c r="E300" s="88"/>
      <c r="F300" s="88"/>
      <c r="G300" s="114"/>
    </row>
    <row r="301">
      <c r="B301" s="87"/>
      <c r="C301" s="88"/>
      <c r="D301" s="88"/>
      <c r="E301" s="88"/>
      <c r="F301" s="88"/>
      <c r="G301" s="114"/>
    </row>
    <row r="302">
      <c r="B302" s="87"/>
      <c r="C302" s="88"/>
      <c r="D302" s="88"/>
      <c r="E302" s="88"/>
      <c r="F302" s="88"/>
      <c r="G302" s="114"/>
    </row>
    <row r="303">
      <c r="B303" s="87"/>
      <c r="C303" s="88"/>
      <c r="D303" s="88"/>
      <c r="E303" s="88"/>
      <c r="F303" s="88"/>
      <c r="G303" s="114"/>
    </row>
    <row r="304">
      <c r="B304" s="87"/>
      <c r="C304" s="88"/>
      <c r="D304" s="88"/>
      <c r="E304" s="88"/>
      <c r="F304" s="88"/>
      <c r="G304" s="114"/>
    </row>
    <row r="305">
      <c r="B305" s="87"/>
      <c r="C305" s="88"/>
      <c r="D305" s="88"/>
      <c r="E305" s="88"/>
      <c r="F305" s="88"/>
      <c r="G305" s="114"/>
    </row>
    <row r="306">
      <c r="B306" s="87"/>
      <c r="C306" s="88"/>
      <c r="D306" s="88"/>
      <c r="E306" s="88"/>
      <c r="F306" s="88"/>
      <c r="G306" s="114"/>
    </row>
    <row r="307">
      <c r="B307" s="87"/>
      <c r="C307" s="88"/>
      <c r="D307" s="88"/>
      <c r="E307" s="88"/>
      <c r="F307" s="88"/>
      <c r="G307" s="114"/>
    </row>
    <row r="308">
      <c r="B308" s="87"/>
      <c r="C308" s="88"/>
      <c r="D308" s="88"/>
      <c r="E308" s="88"/>
      <c r="F308" s="88"/>
      <c r="G308" s="114"/>
    </row>
    <row r="309">
      <c r="B309" s="87"/>
      <c r="C309" s="88"/>
      <c r="D309" s="88"/>
      <c r="E309" s="88"/>
      <c r="F309" s="88"/>
      <c r="G309" s="114"/>
    </row>
    <row r="310">
      <c r="B310" s="87"/>
      <c r="C310" s="88"/>
      <c r="D310" s="88"/>
      <c r="E310" s="88"/>
      <c r="F310" s="88"/>
      <c r="G310" s="114"/>
    </row>
    <row r="311">
      <c r="B311" s="87"/>
      <c r="C311" s="88"/>
      <c r="D311" s="88"/>
      <c r="E311" s="88"/>
      <c r="F311" s="88"/>
      <c r="G311" s="114"/>
    </row>
    <row r="312">
      <c r="B312" s="87"/>
      <c r="C312" s="88"/>
      <c r="D312" s="88"/>
      <c r="E312" s="88"/>
      <c r="F312" s="88"/>
      <c r="G312" s="114"/>
    </row>
    <row r="313">
      <c r="B313" s="87"/>
      <c r="C313" s="88"/>
      <c r="D313" s="88"/>
      <c r="E313" s="88"/>
      <c r="F313" s="88"/>
      <c r="G313" s="114"/>
    </row>
    <row r="314">
      <c r="B314" s="87"/>
      <c r="C314" s="88"/>
      <c r="D314" s="88"/>
      <c r="E314" s="88"/>
      <c r="F314" s="88"/>
      <c r="G314" s="114"/>
    </row>
    <row r="315">
      <c r="B315" s="87"/>
      <c r="C315" s="88"/>
      <c r="D315" s="88"/>
      <c r="E315" s="88"/>
      <c r="F315" s="88"/>
      <c r="G315" s="114"/>
    </row>
    <row r="316">
      <c r="B316" s="87"/>
      <c r="C316" s="88"/>
      <c r="D316" s="88"/>
      <c r="E316" s="88"/>
      <c r="F316" s="88"/>
      <c r="G316" s="114"/>
    </row>
    <row r="317">
      <c r="B317" s="87"/>
      <c r="C317" s="88"/>
      <c r="D317" s="88"/>
      <c r="E317" s="88"/>
      <c r="F317" s="88"/>
      <c r="G317" s="114"/>
    </row>
    <row r="318">
      <c r="B318" s="87"/>
      <c r="C318" s="88"/>
      <c r="D318" s="88"/>
      <c r="E318" s="88"/>
      <c r="F318" s="88"/>
      <c r="G318" s="114"/>
    </row>
    <row r="319">
      <c r="B319" s="87"/>
      <c r="C319" s="88"/>
      <c r="D319" s="88"/>
      <c r="E319" s="88"/>
      <c r="F319" s="88"/>
      <c r="G319" s="114"/>
    </row>
    <row r="320">
      <c r="B320" s="87"/>
      <c r="C320" s="88"/>
      <c r="D320" s="88"/>
      <c r="E320" s="88"/>
      <c r="F320" s="88"/>
      <c r="G320" s="114"/>
    </row>
    <row r="321">
      <c r="B321" s="87"/>
      <c r="C321" s="88"/>
      <c r="D321" s="88"/>
      <c r="E321" s="88"/>
      <c r="F321" s="88"/>
      <c r="G321" s="114"/>
    </row>
    <row r="322">
      <c r="B322" s="87"/>
      <c r="C322" s="88"/>
      <c r="D322" s="88"/>
      <c r="E322" s="88"/>
      <c r="F322" s="88"/>
      <c r="G322" s="114"/>
    </row>
    <row r="323">
      <c r="B323" s="87"/>
      <c r="C323" s="88"/>
      <c r="D323" s="88"/>
      <c r="E323" s="88"/>
      <c r="F323" s="88"/>
      <c r="G323" s="114"/>
    </row>
    <row r="324">
      <c r="B324" s="87"/>
      <c r="C324" s="88"/>
      <c r="D324" s="88"/>
      <c r="E324" s="88"/>
      <c r="F324" s="88"/>
      <c r="G324" s="114"/>
    </row>
    <row r="325">
      <c r="B325" s="87"/>
      <c r="C325" s="88"/>
      <c r="D325" s="88"/>
      <c r="E325" s="88"/>
      <c r="F325" s="88"/>
      <c r="G325" s="114"/>
    </row>
    <row r="326">
      <c r="B326" s="87"/>
      <c r="C326" s="88"/>
      <c r="D326" s="88"/>
      <c r="E326" s="88"/>
      <c r="F326" s="88"/>
      <c r="G326" s="114"/>
    </row>
    <row r="327">
      <c r="B327" s="87"/>
      <c r="C327" s="88"/>
      <c r="D327" s="88"/>
      <c r="E327" s="88"/>
      <c r="F327" s="88"/>
      <c r="G327" s="114"/>
    </row>
    <row r="328">
      <c r="B328" s="87"/>
      <c r="C328" s="88"/>
      <c r="D328" s="88"/>
      <c r="E328" s="88"/>
      <c r="F328" s="88"/>
      <c r="G328" s="114"/>
    </row>
    <row r="329">
      <c r="B329" s="87"/>
      <c r="C329" s="88"/>
      <c r="D329" s="88"/>
      <c r="E329" s="88"/>
      <c r="F329" s="88"/>
      <c r="G329" s="114"/>
    </row>
    <row r="330">
      <c r="B330" s="87"/>
      <c r="C330" s="88"/>
      <c r="D330" s="88"/>
      <c r="E330" s="88"/>
      <c r="F330" s="88"/>
      <c r="G330" s="114"/>
    </row>
    <row r="331">
      <c r="B331" s="87"/>
      <c r="C331" s="88"/>
      <c r="D331" s="88"/>
      <c r="E331" s="88"/>
      <c r="F331" s="88"/>
      <c r="G331" s="114"/>
    </row>
    <row r="332">
      <c r="B332" s="87"/>
      <c r="C332" s="88"/>
      <c r="D332" s="88"/>
      <c r="E332" s="88"/>
      <c r="F332" s="88"/>
      <c r="G332" s="114"/>
    </row>
    <row r="333">
      <c r="B333" s="87"/>
      <c r="C333" s="88"/>
      <c r="D333" s="88"/>
      <c r="E333" s="88"/>
      <c r="F333" s="88"/>
      <c r="G333" s="114"/>
    </row>
    <row r="334">
      <c r="B334" s="87"/>
      <c r="C334" s="88"/>
      <c r="D334" s="88"/>
      <c r="E334" s="88"/>
      <c r="F334" s="88"/>
      <c r="G334" s="114"/>
    </row>
    <row r="335">
      <c r="B335" s="87"/>
      <c r="C335" s="88"/>
      <c r="D335" s="88"/>
      <c r="E335" s="88"/>
      <c r="F335" s="88"/>
      <c r="G335" s="114"/>
    </row>
    <row r="336">
      <c r="B336" s="87"/>
      <c r="C336" s="88"/>
      <c r="D336" s="88"/>
      <c r="E336" s="88"/>
      <c r="F336" s="88"/>
      <c r="G336" s="114"/>
    </row>
    <row r="337">
      <c r="B337" s="87"/>
      <c r="C337" s="88"/>
      <c r="D337" s="88"/>
      <c r="E337" s="88"/>
      <c r="F337" s="88"/>
      <c r="G337" s="114"/>
    </row>
    <row r="338">
      <c r="B338" s="87"/>
      <c r="C338" s="88"/>
      <c r="D338" s="88"/>
      <c r="E338" s="88"/>
      <c r="F338" s="88"/>
      <c r="G338" s="114"/>
    </row>
    <row r="339">
      <c r="B339" s="87"/>
      <c r="C339" s="88"/>
      <c r="D339" s="88"/>
      <c r="E339" s="88"/>
      <c r="F339" s="88"/>
      <c r="G339" s="114"/>
    </row>
    <row r="340">
      <c r="B340" s="87"/>
      <c r="C340" s="88"/>
      <c r="D340" s="88"/>
      <c r="E340" s="88"/>
      <c r="F340" s="88"/>
      <c r="G340" s="114"/>
    </row>
    <row r="341">
      <c r="B341" s="87"/>
      <c r="C341" s="88"/>
      <c r="D341" s="88"/>
      <c r="E341" s="88"/>
      <c r="F341" s="88"/>
      <c r="G341" s="114"/>
    </row>
    <row r="342">
      <c r="B342" s="87"/>
      <c r="C342" s="88"/>
      <c r="D342" s="88"/>
      <c r="E342" s="88"/>
      <c r="F342" s="88"/>
      <c r="G342" s="114"/>
    </row>
    <row r="343">
      <c r="B343" s="87"/>
      <c r="C343" s="88"/>
      <c r="D343" s="88"/>
      <c r="E343" s="88"/>
      <c r="F343" s="88"/>
      <c r="G343" s="114"/>
    </row>
    <row r="344">
      <c r="B344" s="87"/>
      <c r="C344" s="88"/>
      <c r="D344" s="88"/>
      <c r="E344" s="88"/>
      <c r="F344" s="88"/>
      <c r="G344" s="114"/>
    </row>
    <row r="345">
      <c r="B345" s="87"/>
      <c r="C345" s="88"/>
      <c r="D345" s="88"/>
      <c r="E345" s="88"/>
      <c r="F345" s="88"/>
      <c r="G345" s="114"/>
    </row>
    <row r="346">
      <c r="B346" s="87"/>
      <c r="C346" s="88"/>
      <c r="D346" s="88"/>
      <c r="E346" s="88"/>
      <c r="F346" s="88"/>
      <c r="G346" s="114"/>
    </row>
    <row r="347">
      <c r="B347" s="87"/>
      <c r="C347" s="88"/>
      <c r="D347" s="88"/>
      <c r="E347" s="88"/>
      <c r="F347" s="88"/>
      <c r="G347" s="114"/>
    </row>
    <row r="348">
      <c r="B348" s="87"/>
      <c r="C348" s="88"/>
      <c r="D348" s="88"/>
      <c r="E348" s="88"/>
      <c r="F348" s="88"/>
      <c r="G348" s="114"/>
    </row>
    <row r="349">
      <c r="B349" s="87"/>
      <c r="C349" s="88"/>
      <c r="D349" s="88"/>
      <c r="E349" s="88"/>
      <c r="F349" s="88"/>
      <c r="G349" s="114"/>
    </row>
    <row r="350">
      <c r="B350" s="87"/>
      <c r="C350" s="88"/>
      <c r="D350" s="88"/>
      <c r="E350" s="88"/>
      <c r="F350" s="88"/>
      <c r="G350" s="114"/>
    </row>
    <row r="351">
      <c r="B351" s="87"/>
      <c r="C351" s="88"/>
      <c r="D351" s="88"/>
      <c r="E351" s="88"/>
      <c r="F351" s="88"/>
      <c r="G351" s="114"/>
    </row>
    <row r="352">
      <c r="B352" s="87"/>
      <c r="C352" s="88"/>
      <c r="D352" s="88"/>
      <c r="E352" s="88"/>
      <c r="F352" s="88"/>
      <c r="G352" s="114"/>
    </row>
    <row r="353">
      <c r="B353" s="87"/>
      <c r="C353" s="88"/>
      <c r="D353" s="88"/>
      <c r="E353" s="88"/>
      <c r="F353" s="88"/>
      <c r="G353" s="114"/>
    </row>
    <row r="354">
      <c r="B354" s="87"/>
      <c r="C354" s="88"/>
      <c r="D354" s="88"/>
      <c r="E354" s="88"/>
      <c r="F354" s="88"/>
      <c r="G354" s="114"/>
    </row>
    <row r="355">
      <c r="B355" s="87"/>
      <c r="C355" s="88"/>
      <c r="D355" s="88"/>
      <c r="E355" s="88"/>
      <c r="F355" s="88"/>
      <c r="G355" s="114"/>
    </row>
    <row r="356">
      <c r="B356" s="87"/>
      <c r="C356" s="88"/>
      <c r="D356" s="88"/>
      <c r="E356" s="88"/>
      <c r="F356" s="88"/>
      <c r="G356" s="114"/>
    </row>
    <row r="357">
      <c r="B357" s="87"/>
      <c r="C357" s="88"/>
      <c r="D357" s="88"/>
      <c r="E357" s="88"/>
      <c r="F357" s="88"/>
      <c r="G357" s="114"/>
    </row>
    <row r="358">
      <c r="B358" s="87"/>
      <c r="C358" s="88"/>
      <c r="D358" s="88"/>
      <c r="E358" s="88"/>
      <c r="F358" s="88"/>
      <c r="G358" s="114"/>
    </row>
    <row r="359">
      <c r="B359" s="87"/>
      <c r="C359" s="88"/>
      <c r="D359" s="88"/>
      <c r="E359" s="88"/>
      <c r="F359" s="88"/>
      <c r="G359" s="114"/>
    </row>
    <row r="360">
      <c r="B360" s="87"/>
      <c r="C360" s="88"/>
      <c r="D360" s="88"/>
      <c r="E360" s="88"/>
      <c r="F360" s="88"/>
      <c r="G360" s="114"/>
    </row>
    <row r="361">
      <c r="B361" s="87"/>
      <c r="C361" s="88"/>
      <c r="D361" s="88"/>
      <c r="E361" s="88"/>
      <c r="F361" s="88"/>
      <c r="G361" s="114"/>
    </row>
    <row r="362">
      <c r="B362" s="87"/>
      <c r="C362" s="88"/>
      <c r="D362" s="88"/>
      <c r="E362" s="88"/>
      <c r="F362" s="88"/>
      <c r="G362" s="114"/>
    </row>
    <row r="363">
      <c r="B363" s="87"/>
      <c r="C363" s="88"/>
      <c r="D363" s="88"/>
      <c r="E363" s="88"/>
      <c r="F363" s="88"/>
      <c r="G363" s="114"/>
    </row>
    <row r="364">
      <c r="B364" s="87"/>
      <c r="C364" s="88"/>
      <c r="D364" s="88"/>
      <c r="E364" s="88"/>
      <c r="F364" s="88"/>
      <c r="G364" s="114"/>
    </row>
    <row r="365">
      <c r="B365" s="87"/>
      <c r="C365" s="88"/>
      <c r="D365" s="88"/>
      <c r="E365" s="88"/>
      <c r="F365" s="88"/>
      <c r="G365" s="114"/>
    </row>
    <row r="366">
      <c r="B366" s="87"/>
      <c r="C366" s="88"/>
      <c r="D366" s="88"/>
      <c r="E366" s="88"/>
      <c r="F366" s="88"/>
      <c r="G366" s="114"/>
    </row>
    <row r="367">
      <c r="B367" s="87"/>
      <c r="C367" s="88"/>
      <c r="D367" s="88"/>
      <c r="E367" s="88"/>
      <c r="F367" s="88"/>
      <c r="G367" s="114"/>
    </row>
    <row r="368">
      <c r="B368" s="87"/>
      <c r="C368" s="88"/>
      <c r="D368" s="88"/>
      <c r="E368" s="88"/>
      <c r="F368" s="88"/>
      <c r="G368" s="114"/>
    </row>
    <row r="369">
      <c r="B369" s="87"/>
      <c r="C369" s="88"/>
      <c r="D369" s="88"/>
      <c r="E369" s="88"/>
      <c r="F369" s="88"/>
      <c r="G369" s="114"/>
    </row>
    <row r="370">
      <c r="B370" s="87"/>
      <c r="C370" s="88"/>
      <c r="D370" s="88"/>
      <c r="E370" s="88"/>
      <c r="F370" s="88"/>
      <c r="G370" s="114"/>
    </row>
    <row r="371">
      <c r="B371" s="87"/>
      <c r="C371" s="88"/>
      <c r="D371" s="88"/>
      <c r="E371" s="88"/>
      <c r="F371" s="88"/>
      <c r="G371" s="114"/>
    </row>
    <row r="372">
      <c r="B372" s="87"/>
      <c r="C372" s="88"/>
      <c r="D372" s="88"/>
      <c r="E372" s="88"/>
      <c r="F372" s="88"/>
      <c r="G372" s="114"/>
    </row>
    <row r="373">
      <c r="B373" s="87"/>
      <c r="C373" s="88"/>
      <c r="D373" s="88"/>
      <c r="E373" s="88"/>
      <c r="F373" s="88"/>
      <c r="G373" s="114"/>
    </row>
    <row r="374">
      <c r="B374" s="87"/>
      <c r="C374" s="88"/>
      <c r="D374" s="88"/>
      <c r="E374" s="88"/>
      <c r="F374" s="88"/>
      <c r="G374" s="114"/>
    </row>
    <row r="375">
      <c r="B375" s="87"/>
      <c r="C375" s="88"/>
      <c r="D375" s="88"/>
      <c r="E375" s="88"/>
      <c r="F375" s="88"/>
      <c r="G375" s="114"/>
    </row>
    <row r="376">
      <c r="B376" s="87"/>
      <c r="C376" s="88"/>
      <c r="D376" s="88"/>
      <c r="E376" s="88"/>
      <c r="F376" s="88"/>
      <c r="G376" s="114"/>
    </row>
    <row r="377">
      <c r="B377" s="87"/>
      <c r="C377" s="88"/>
      <c r="D377" s="88"/>
      <c r="E377" s="88"/>
      <c r="F377" s="88"/>
      <c r="G377" s="114"/>
    </row>
    <row r="378">
      <c r="B378" s="87"/>
      <c r="C378" s="88"/>
      <c r="D378" s="88"/>
      <c r="E378" s="88"/>
      <c r="F378" s="88"/>
      <c r="G378" s="114"/>
    </row>
    <row r="379">
      <c r="B379" s="87"/>
      <c r="C379" s="88"/>
      <c r="D379" s="88"/>
      <c r="E379" s="88"/>
      <c r="F379" s="88"/>
      <c r="G379" s="114"/>
    </row>
    <row r="380">
      <c r="B380" s="87"/>
      <c r="C380" s="88"/>
      <c r="D380" s="88"/>
      <c r="E380" s="88"/>
      <c r="F380" s="88"/>
      <c r="G380" s="114"/>
    </row>
    <row r="381">
      <c r="B381" s="87"/>
      <c r="C381" s="88"/>
      <c r="D381" s="88"/>
      <c r="E381" s="88"/>
      <c r="F381" s="88"/>
      <c r="G381" s="114"/>
    </row>
    <row r="382">
      <c r="B382" s="87"/>
      <c r="C382" s="88"/>
      <c r="D382" s="88"/>
      <c r="E382" s="88"/>
      <c r="F382" s="88"/>
      <c r="G382" s="114"/>
    </row>
    <row r="383">
      <c r="B383" s="87"/>
      <c r="C383" s="88"/>
      <c r="D383" s="88"/>
      <c r="E383" s="88"/>
      <c r="F383" s="88"/>
      <c r="G383" s="114"/>
    </row>
    <row r="384">
      <c r="B384" s="87"/>
      <c r="C384" s="88"/>
      <c r="D384" s="88"/>
      <c r="E384" s="88"/>
      <c r="F384" s="88"/>
      <c r="G384" s="114"/>
    </row>
    <row r="385">
      <c r="B385" s="87"/>
      <c r="C385" s="88"/>
      <c r="D385" s="88"/>
      <c r="E385" s="88"/>
      <c r="F385" s="88"/>
      <c r="G385" s="114"/>
    </row>
    <row r="386">
      <c r="B386" s="87"/>
      <c r="C386" s="88"/>
      <c r="D386" s="88"/>
      <c r="E386" s="88"/>
      <c r="F386" s="88"/>
      <c r="G386" s="114"/>
    </row>
    <row r="387">
      <c r="B387" s="87"/>
      <c r="C387" s="88"/>
      <c r="D387" s="88"/>
      <c r="E387" s="88"/>
      <c r="F387" s="88"/>
      <c r="G387" s="114"/>
    </row>
    <row r="388">
      <c r="B388" s="87"/>
      <c r="C388" s="88"/>
      <c r="D388" s="88"/>
      <c r="E388" s="88"/>
      <c r="F388" s="88"/>
      <c r="G388" s="114"/>
    </row>
    <row r="389">
      <c r="B389" s="87"/>
      <c r="C389" s="88"/>
      <c r="D389" s="88"/>
      <c r="E389" s="88"/>
      <c r="F389" s="88"/>
      <c r="G389" s="114"/>
    </row>
    <row r="390">
      <c r="B390" s="87"/>
      <c r="C390" s="88"/>
      <c r="D390" s="88"/>
      <c r="E390" s="88"/>
      <c r="F390" s="88"/>
      <c r="G390" s="114"/>
    </row>
    <row r="391">
      <c r="B391" s="87"/>
      <c r="C391" s="88"/>
      <c r="D391" s="88"/>
      <c r="E391" s="88"/>
      <c r="F391" s="88"/>
      <c r="G391" s="114"/>
    </row>
    <row r="392">
      <c r="B392" s="87"/>
      <c r="C392" s="88"/>
      <c r="D392" s="88"/>
      <c r="E392" s="88"/>
      <c r="F392" s="88"/>
      <c r="G392" s="114"/>
    </row>
    <row r="393">
      <c r="B393" s="87"/>
      <c r="C393" s="88"/>
      <c r="D393" s="88"/>
      <c r="E393" s="88"/>
      <c r="F393" s="88"/>
      <c r="G393" s="114"/>
    </row>
    <row r="394">
      <c r="B394" s="87"/>
      <c r="C394" s="88"/>
      <c r="D394" s="88"/>
      <c r="E394" s="88"/>
      <c r="F394" s="88"/>
      <c r="G394" s="114"/>
    </row>
    <row r="395">
      <c r="B395" s="87"/>
      <c r="C395" s="88"/>
      <c r="D395" s="88"/>
      <c r="E395" s="88"/>
      <c r="F395" s="88"/>
      <c r="G395" s="114"/>
    </row>
    <row r="396">
      <c r="B396" s="87"/>
      <c r="C396" s="88"/>
      <c r="D396" s="88"/>
      <c r="E396" s="88"/>
      <c r="F396" s="88"/>
      <c r="G396" s="114"/>
    </row>
    <row r="397">
      <c r="B397" s="87"/>
      <c r="C397" s="88"/>
      <c r="D397" s="88"/>
      <c r="E397" s="88"/>
      <c r="F397" s="88"/>
      <c r="G397" s="114"/>
    </row>
    <row r="398">
      <c r="B398" s="87"/>
      <c r="C398" s="88"/>
      <c r="D398" s="88"/>
      <c r="E398" s="88"/>
      <c r="F398" s="88"/>
      <c r="G398" s="114"/>
    </row>
    <row r="399">
      <c r="B399" s="87"/>
      <c r="C399" s="88"/>
      <c r="D399" s="88"/>
      <c r="E399" s="88"/>
      <c r="F399" s="88"/>
      <c r="G399" s="114"/>
    </row>
    <row r="400">
      <c r="B400" s="87"/>
      <c r="C400" s="88"/>
      <c r="D400" s="88"/>
      <c r="E400" s="88"/>
      <c r="F400" s="88"/>
      <c r="G400" s="114"/>
    </row>
    <row r="401">
      <c r="B401" s="87"/>
      <c r="C401" s="88"/>
      <c r="D401" s="88"/>
      <c r="E401" s="88"/>
      <c r="F401" s="88"/>
      <c r="G401" s="114"/>
    </row>
    <row r="402">
      <c r="B402" s="87"/>
      <c r="C402" s="88"/>
      <c r="D402" s="88"/>
      <c r="E402" s="88"/>
      <c r="F402" s="88"/>
      <c r="G402" s="114"/>
    </row>
    <row r="403">
      <c r="B403" s="87"/>
      <c r="C403" s="88"/>
      <c r="D403" s="88"/>
      <c r="E403" s="88"/>
      <c r="F403" s="88"/>
      <c r="G403" s="114"/>
    </row>
    <row r="404">
      <c r="B404" s="87"/>
      <c r="C404" s="88"/>
      <c r="D404" s="88"/>
      <c r="E404" s="88"/>
      <c r="F404" s="88"/>
      <c r="G404" s="114"/>
    </row>
    <row r="405">
      <c r="B405" s="87"/>
      <c r="C405" s="88"/>
      <c r="D405" s="88"/>
      <c r="E405" s="88"/>
      <c r="F405" s="88"/>
      <c r="G405" s="114"/>
    </row>
    <row r="406">
      <c r="B406" s="87"/>
      <c r="C406" s="88"/>
      <c r="D406" s="88"/>
      <c r="E406" s="88"/>
      <c r="F406" s="88"/>
      <c r="G406" s="114"/>
    </row>
    <row r="407">
      <c r="B407" s="87"/>
      <c r="C407" s="88"/>
      <c r="D407" s="88"/>
      <c r="E407" s="88"/>
      <c r="F407" s="88"/>
      <c r="G407" s="114"/>
    </row>
    <row r="408">
      <c r="B408" s="87"/>
      <c r="C408" s="88"/>
      <c r="D408" s="88"/>
      <c r="E408" s="88"/>
      <c r="F408" s="88"/>
      <c r="G408" s="114"/>
    </row>
    <row r="409">
      <c r="B409" s="87"/>
      <c r="C409" s="88"/>
      <c r="D409" s="88"/>
      <c r="E409" s="88"/>
      <c r="F409" s="88"/>
      <c r="G409" s="114"/>
    </row>
    <row r="410">
      <c r="B410" s="87"/>
      <c r="C410" s="88"/>
      <c r="D410" s="88"/>
      <c r="E410" s="88"/>
      <c r="F410" s="88"/>
      <c r="G410" s="114"/>
    </row>
    <row r="411">
      <c r="B411" s="87"/>
      <c r="C411" s="88"/>
      <c r="D411" s="88"/>
      <c r="E411" s="88"/>
      <c r="F411" s="88"/>
      <c r="G411" s="114"/>
    </row>
    <row r="412">
      <c r="B412" s="87"/>
      <c r="C412" s="88"/>
      <c r="D412" s="88"/>
      <c r="E412" s="88"/>
      <c r="F412" s="88"/>
      <c r="G412" s="114"/>
    </row>
    <row r="413">
      <c r="B413" s="87"/>
      <c r="C413" s="88"/>
      <c r="D413" s="88"/>
      <c r="E413" s="88"/>
      <c r="F413" s="88"/>
      <c r="G413" s="114"/>
    </row>
    <row r="414">
      <c r="B414" s="87"/>
      <c r="C414" s="88"/>
      <c r="D414" s="88"/>
      <c r="E414" s="88"/>
      <c r="F414" s="88"/>
      <c r="G414" s="114"/>
    </row>
    <row r="415">
      <c r="B415" s="87"/>
      <c r="C415" s="88"/>
      <c r="D415" s="88"/>
      <c r="E415" s="88"/>
      <c r="F415" s="88"/>
      <c r="G415" s="114"/>
    </row>
    <row r="416">
      <c r="B416" s="87"/>
      <c r="C416" s="88"/>
      <c r="D416" s="88"/>
      <c r="E416" s="88"/>
      <c r="F416" s="88"/>
      <c r="G416" s="114"/>
    </row>
    <row r="417">
      <c r="B417" s="87"/>
      <c r="C417" s="88"/>
      <c r="D417" s="88"/>
      <c r="E417" s="88"/>
      <c r="F417" s="88"/>
      <c r="G417" s="114"/>
    </row>
    <row r="418">
      <c r="B418" s="87"/>
      <c r="C418" s="88"/>
      <c r="D418" s="88"/>
      <c r="E418" s="88"/>
      <c r="F418" s="88"/>
      <c r="G418" s="114"/>
    </row>
    <row r="419">
      <c r="B419" s="87"/>
      <c r="C419" s="88"/>
      <c r="D419" s="88"/>
      <c r="E419" s="88"/>
      <c r="F419" s="88"/>
      <c r="G419" s="114"/>
    </row>
    <row r="420">
      <c r="B420" s="87"/>
      <c r="C420" s="88"/>
      <c r="D420" s="88"/>
      <c r="E420" s="88"/>
      <c r="F420" s="88"/>
      <c r="G420" s="114"/>
    </row>
    <row r="421">
      <c r="B421" s="87"/>
      <c r="C421" s="88"/>
      <c r="D421" s="88"/>
      <c r="E421" s="88"/>
      <c r="F421" s="88"/>
      <c r="G421" s="114"/>
    </row>
    <row r="422">
      <c r="B422" s="87"/>
      <c r="C422" s="88"/>
      <c r="D422" s="88"/>
      <c r="E422" s="88"/>
      <c r="F422" s="88"/>
      <c r="G422" s="114"/>
    </row>
    <row r="423">
      <c r="B423" s="87"/>
      <c r="C423" s="88"/>
      <c r="D423" s="88"/>
      <c r="E423" s="88"/>
      <c r="F423" s="88"/>
      <c r="G423" s="114"/>
    </row>
    <row r="424">
      <c r="B424" s="87"/>
      <c r="C424" s="88"/>
      <c r="D424" s="88"/>
      <c r="E424" s="88"/>
      <c r="F424" s="88"/>
      <c r="G424" s="114"/>
    </row>
    <row r="425">
      <c r="B425" s="87"/>
      <c r="C425" s="88"/>
      <c r="D425" s="88"/>
      <c r="E425" s="88"/>
      <c r="F425" s="88"/>
      <c r="G425" s="114"/>
    </row>
    <row r="426">
      <c r="B426" s="87"/>
      <c r="C426" s="88"/>
      <c r="D426" s="88"/>
      <c r="E426" s="88"/>
      <c r="F426" s="88"/>
      <c r="G426" s="114"/>
    </row>
    <row r="427">
      <c r="B427" s="87"/>
      <c r="C427" s="88"/>
      <c r="D427" s="88"/>
      <c r="E427" s="88"/>
      <c r="F427" s="88"/>
      <c r="G427" s="114"/>
    </row>
    <row r="428">
      <c r="B428" s="87"/>
      <c r="C428" s="88"/>
      <c r="D428" s="88"/>
      <c r="E428" s="88"/>
      <c r="F428" s="88"/>
      <c r="G428" s="114"/>
    </row>
    <row r="429">
      <c r="B429" s="87"/>
      <c r="C429" s="88"/>
      <c r="D429" s="88"/>
      <c r="E429" s="88"/>
      <c r="F429" s="88"/>
      <c r="G429" s="114"/>
    </row>
    <row r="430">
      <c r="B430" s="87"/>
      <c r="C430" s="88"/>
      <c r="D430" s="88"/>
      <c r="E430" s="88"/>
      <c r="F430" s="88"/>
      <c r="G430" s="114"/>
    </row>
    <row r="431">
      <c r="B431" s="87"/>
      <c r="C431" s="88"/>
      <c r="D431" s="88"/>
      <c r="E431" s="88"/>
      <c r="F431" s="88"/>
      <c r="G431" s="114"/>
    </row>
    <row r="432">
      <c r="B432" s="87"/>
      <c r="C432" s="88"/>
      <c r="D432" s="88"/>
      <c r="E432" s="88"/>
      <c r="F432" s="88"/>
      <c r="G432" s="114"/>
    </row>
    <row r="433">
      <c r="B433" s="87"/>
      <c r="C433" s="88"/>
      <c r="D433" s="88"/>
      <c r="E433" s="88"/>
      <c r="F433" s="88"/>
      <c r="G433" s="114"/>
    </row>
    <row r="434">
      <c r="B434" s="87"/>
      <c r="C434" s="88"/>
      <c r="D434" s="88"/>
      <c r="E434" s="88"/>
      <c r="F434" s="88"/>
      <c r="G434" s="114"/>
    </row>
    <row r="435">
      <c r="B435" s="87"/>
      <c r="C435" s="88"/>
      <c r="D435" s="88"/>
      <c r="E435" s="88"/>
      <c r="F435" s="88"/>
      <c r="G435" s="114"/>
    </row>
    <row r="436">
      <c r="B436" s="87"/>
      <c r="C436" s="88"/>
      <c r="D436" s="88"/>
      <c r="E436" s="88"/>
      <c r="F436" s="88"/>
      <c r="G436" s="114"/>
    </row>
    <row r="437">
      <c r="B437" s="87"/>
      <c r="C437" s="88"/>
      <c r="D437" s="88"/>
      <c r="E437" s="88"/>
      <c r="F437" s="88"/>
      <c r="G437" s="114"/>
    </row>
    <row r="438">
      <c r="B438" s="87"/>
      <c r="C438" s="88"/>
      <c r="D438" s="88"/>
      <c r="E438" s="88"/>
      <c r="F438" s="88"/>
      <c r="G438" s="114"/>
    </row>
    <row r="439">
      <c r="B439" s="87"/>
      <c r="C439" s="88"/>
      <c r="D439" s="88"/>
      <c r="E439" s="88"/>
      <c r="F439" s="88"/>
      <c r="G439" s="114"/>
    </row>
    <row r="440">
      <c r="B440" s="87"/>
      <c r="C440" s="88"/>
      <c r="D440" s="88"/>
      <c r="E440" s="88"/>
      <c r="F440" s="88"/>
      <c r="G440" s="114"/>
    </row>
    <row r="441">
      <c r="B441" s="87"/>
      <c r="C441" s="88"/>
      <c r="D441" s="88"/>
      <c r="E441" s="88"/>
      <c r="F441" s="88"/>
      <c r="G441" s="114"/>
    </row>
    <row r="442">
      <c r="B442" s="87"/>
      <c r="C442" s="88"/>
      <c r="D442" s="88"/>
      <c r="E442" s="88"/>
      <c r="F442" s="88"/>
      <c r="G442" s="114"/>
    </row>
    <row r="443">
      <c r="B443" s="87"/>
      <c r="C443" s="88"/>
      <c r="D443" s="88"/>
      <c r="E443" s="88"/>
      <c r="F443" s="88"/>
      <c r="G443" s="114"/>
    </row>
    <row r="444">
      <c r="B444" s="87"/>
      <c r="C444" s="88"/>
      <c r="D444" s="88"/>
      <c r="E444" s="88"/>
      <c r="F444" s="88"/>
      <c r="G444" s="114"/>
    </row>
    <row r="445">
      <c r="B445" s="87"/>
      <c r="C445" s="88"/>
      <c r="D445" s="88"/>
      <c r="E445" s="88"/>
      <c r="F445" s="88"/>
      <c r="G445" s="114"/>
    </row>
    <row r="446">
      <c r="B446" s="87"/>
      <c r="C446" s="88"/>
      <c r="D446" s="88"/>
      <c r="E446" s="88"/>
      <c r="F446" s="88"/>
      <c r="G446" s="114"/>
    </row>
    <row r="447">
      <c r="B447" s="87"/>
      <c r="C447" s="88"/>
      <c r="D447" s="88"/>
      <c r="E447" s="88"/>
      <c r="F447" s="88"/>
      <c r="G447" s="114"/>
    </row>
    <row r="448">
      <c r="B448" s="87"/>
      <c r="C448" s="88"/>
      <c r="D448" s="88"/>
      <c r="E448" s="88"/>
      <c r="F448" s="88"/>
      <c r="G448" s="114"/>
    </row>
    <row r="449">
      <c r="B449" s="87"/>
      <c r="C449" s="88"/>
      <c r="D449" s="88"/>
      <c r="E449" s="88"/>
      <c r="F449" s="88"/>
      <c r="G449" s="114"/>
    </row>
    <row r="450">
      <c r="B450" s="87"/>
      <c r="C450" s="88"/>
      <c r="D450" s="88"/>
      <c r="E450" s="88"/>
      <c r="F450" s="88"/>
      <c r="G450" s="114"/>
    </row>
    <row r="451">
      <c r="B451" s="87"/>
      <c r="C451" s="88"/>
      <c r="D451" s="88"/>
      <c r="E451" s="88"/>
      <c r="F451" s="88"/>
      <c r="G451" s="114"/>
    </row>
    <row r="452">
      <c r="B452" s="87"/>
      <c r="C452" s="88"/>
      <c r="D452" s="88"/>
      <c r="E452" s="88"/>
      <c r="F452" s="88"/>
      <c r="G452" s="114"/>
    </row>
    <row r="453">
      <c r="B453" s="87"/>
      <c r="C453" s="88"/>
      <c r="D453" s="88"/>
      <c r="E453" s="88"/>
      <c r="F453" s="88"/>
      <c r="G453" s="114"/>
    </row>
    <row r="454">
      <c r="B454" s="87"/>
      <c r="C454" s="88"/>
      <c r="D454" s="88"/>
      <c r="E454" s="88"/>
      <c r="F454" s="88"/>
      <c r="G454" s="114"/>
    </row>
    <row r="455">
      <c r="B455" s="87"/>
      <c r="C455" s="88"/>
      <c r="D455" s="88"/>
      <c r="E455" s="88"/>
      <c r="F455" s="88"/>
      <c r="G455" s="114"/>
    </row>
    <row r="456">
      <c r="B456" s="87"/>
      <c r="C456" s="88"/>
      <c r="D456" s="88"/>
      <c r="E456" s="88"/>
      <c r="F456" s="88"/>
      <c r="G456" s="114"/>
    </row>
    <row r="457">
      <c r="B457" s="87"/>
      <c r="C457" s="88"/>
      <c r="D457" s="88"/>
      <c r="E457" s="88"/>
      <c r="F457" s="88"/>
      <c r="G457" s="114"/>
    </row>
    <row r="458">
      <c r="B458" s="87"/>
      <c r="C458" s="88"/>
      <c r="D458" s="88"/>
      <c r="E458" s="88"/>
      <c r="F458" s="88"/>
      <c r="G458" s="114"/>
    </row>
    <row r="459">
      <c r="B459" s="87"/>
      <c r="C459" s="88"/>
      <c r="D459" s="88"/>
      <c r="E459" s="88"/>
      <c r="F459" s="88"/>
      <c r="G459" s="114"/>
    </row>
    <row r="460">
      <c r="B460" s="87"/>
      <c r="C460" s="88"/>
      <c r="D460" s="88"/>
      <c r="E460" s="88"/>
      <c r="F460" s="88"/>
      <c r="G460" s="114"/>
    </row>
    <row r="461">
      <c r="B461" s="87"/>
      <c r="C461" s="88"/>
      <c r="D461" s="88"/>
      <c r="E461" s="88"/>
      <c r="F461" s="88"/>
      <c r="G461" s="114"/>
    </row>
    <row r="462">
      <c r="B462" s="87"/>
      <c r="C462" s="88"/>
      <c r="D462" s="88"/>
      <c r="E462" s="88"/>
      <c r="F462" s="88"/>
      <c r="G462" s="114"/>
    </row>
    <row r="463">
      <c r="B463" s="87"/>
      <c r="C463" s="88"/>
      <c r="D463" s="88"/>
      <c r="E463" s="88"/>
      <c r="F463" s="88"/>
      <c r="G463" s="114"/>
    </row>
    <row r="464">
      <c r="B464" s="87"/>
      <c r="C464" s="88"/>
      <c r="D464" s="88"/>
      <c r="E464" s="88"/>
      <c r="F464" s="88"/>
      <c r="G464" s="114"/>
    </row>
    <row r="465">
      <c r="B465" s="87"/>
      <c r="C465" s="88"/>
      <c r="D465" s="88"/>
      <c r="E465" s="88"/>
      <c r="F465" s="88"/>
      <c r="G465" s="114"/>
    </row>
    <row r="466">
      <c r="B466" s="87"/>
      <c r="C466" s="88"/>
      <c r="D466" s="88"/>
      <c r="E466" s="88"/>
      <c r="F466" s="88"/>
      <c r="G466" s="114"/>
    </row>
    <row r="467">
      <c r="B467" s="87"/>
      <c r="C467" s="88"/>
      <c r="D467" s="88"/>
      <c r="E467" s="88"/>
      <c r="F467" s="88"/>
      <c r="G467" s="114"/>
    </row>
    <row r="468">
      <c r="B468" s="87"/>
      <c r="C468" s="88"/>
      <c r="D468" s="88"/>
      <c r="E468" s="88"/>
      <c r="F468" s="88"/>
      <c r="G468" s="114"/>
    </row>
    <row r="469">
      <c r="B469" s="87"/>
      <c r="C469" s="88"/>
      <c r="D469" s="88"/>
      <c r="E469" s="88"/>
      <c r="F469" s="88"/>
      <c r="G469" s="114"/>
    </row>
    <row r="470">
      <c r="B470" s="87"/>
      <c r="C470" s="88"/>
      <c r="D470" s="88"/>
      <c r="E470" s="88"/>
      <c r="F470" s="88"/>
      <c r="G470" s="114"/>
    </row>
    <row r="471">
      <c r="B471" s="87"/>
      <c r="C471" s="88"/>
      <c r="D471" s="88"/>
      <c r="E471" s="88"/>
      <c r="F471" s="88"/>
      <c r="G471" s="114"/>
    </row>
    <row r="472">
      <c r="B472" s="87"/>
      <c r="C472" s="88"/>
      <c r="D472" s="88"/>
      <c r="E472" s="88"/>
      <c r="F472" s="88"/>
      <c r="G472" s="114"/>
    </row>
    <row r="473">
      <c r="B473" s="87"/>
      <c r="C473" s="88"/>
      <c r="D473" s="88"/>
      <c r="E473" s="88"/>
      <c r="F473" s="88"/>
      <c r="G473" s="114"/>
    </row>
    <row r="474">
      <c r="B474" s="87"/>
      <c r="C474" s="88"/>
      <c r="D474" s="88"/>
      <c r="E474" s="88"/>
      <c r="F474" s="88"/>
      <c r="G474" s="114"/>
    </row>
    <row r="475">
      <c r="B475" s="87"/>
      <c r="C475" s="88"/>
      <c r="D475" s="88"/>
      <c r="E475" s="88"/>
      <c r="F475" s="88"/>
      <c r="G475" s="114"/>
    </row>
    <row r="476">
      <c r="B476" s="87"/>
      <c r="C476" s="88"/>
      <c r="D476" s="88"/>
      <c r="E476" s="88"/>
      <c r="F476" s="88"/>
      <c r="G476" s="114"/>
    </row>
    <row r="477">
      <c r="B477" s="87"/>
      <c r="C477" s="88"/>
      <c r="D477" s="88"/>
      <c r="E477" s="88"/>
      <c r="F477" s="88"/>
      <c r="G477" s="114"/>
    </row>
    <row r="478">
      <c r="B478" s="87"/>
      <c r="C478" s="88"/>
      <c r="D478" s="88"/>
      <c r="E478" s="88"/>
      <c r="F478" s="88"/>
      <c r="G478" s="114"/>
    </row>
    <row r="479">
      <c r="B479" s="87"/>
      <c r="C479" s="88"/>
      <c r="D479" s="88"/>
      <c r="E479" s="88"/>
      <c r="F479" s="88"/>
      <c r="G479" s="114"/>
    </row>
    <row r="480">
      <c r="B480" s="87"/>
      <c r="C480" s="88"/>
      <c r="D480" s="88"/>
      <c r="E480" s="88"/>
      <c r="F480" s="88"/>
      <c r="G480" s="114"/>
    </row>
    <row r="481">
      <c r="B481" s="87"/>
      <c r="C481" s="88"/>
      <c r="D481" s="88"/>
      <c r="E481" s="88"/>
      <c r="F481" s="88"/>
      <c r="G481" s="114"/>
    </row>
    <row r="482">
      <c r="B482" s="87"/>
      <c r="C482" s="88"/>
      <c r="D482" s="88"/>
      <c r="E482" s="88"/>
      <c r="F482" s="88"/>
      <c r="G482" s="114"/>
    </row>
    <row r="483">
      <c r="B483" s="87"/>
      <c r="C483" s="88"/>
      <c r="D483" s="88"/>
      <c r="E483" s="88"/>
      <c r="F483" s="88"/>
      <c r="G483" s="114"/>
    </row>
    <row r="484">
      <c r="B484" s="87"/>
      <c r="C484" s="88"/>
      <c r="D484" s="88"/>
      <c r="E484" s="88"/>
      <c r="F484" s="88"/>
      <c r="G484" s="114"/>
    </row>
    <row r="485">
      <c r="B485" s="87"/>
      <c r="C485" s="88"/>
      <c r="D485" s="88"/>
      <c r="E485" s="88"/>
      <c r="F485" s="88"/>
      <c r="G485" s="114"/>
    </row>
    <row r="486">
      <c r="B486" s="87"/>
      <c r="C486" s="88"/>
      <c r="D486" s="88"/>
      <c r="E486" s="88"/>
      <c r="F486" s="88"/>
      <c r="G486" s="114"/>
    </row>
    <row r="487">
      <c r="B487" s="87"/>
      <c r="C487" s="88"/>
      <c r="D487" s="88"/>
      <c r="E487" s="88"/>
      <c r="F487" s="88"/>
      <c r="G487" s="114"/>
    </row>
    <row r="488">
      <c r="B488" s="87"/>
      <c r="C488" s="88"/>
      <c r="D488" s="88"/>
      <c r="E488" s="88"/>
      <c r="F488" s="88"/>
      <c r="G488" s="114"/>
    </row>
    <row r="489">
      <c r="B489" s="87"/>
      <c r="C489" s="88"/>
      <c r="D489" s="88"/>
      <c r="E489" s="88"/>
      <c r="F489" s="88"/>
      <c r="G489" s="114"/>
    </row>
    <row r="490">
      <c r="B490" s="87"/>
      <c r="C490" s="88"/>
      <c r="D490" s="88"/>
      <c r="E490" s="88"/>
      <c r="F490" s="88"/>
      <c r="G490" s="114"/>
    </row>
    <row r="491">
      <c r="B491" s="87"/>
      <c r="C491" s="88"/>
      <c r="D491" s="88"/>
      <c r="E491" s="88"/>
      <c r="F491" s="88"/>
      <c r="G491" s="114"/>
    </row>
    <row r="492">
      <c r="B492" s="87"/>
      <c r="C492" s="88"/>
      <c r="D492" s="88"/>
      <c r="E492" s="88"/>
      <c r="F492" s="88"/>
      <c r="G492" s="114"/>
    </row>
    <row r="493">
      <c r="B493" s="87"/>
      <c r="C493" s="88"/>
      <c r="D493" s="88"/>
      <c r="E493" s="88"/>
      <c r="F493" s="88"/>
      <c r="G493" s="114"/>
    </row>
    <row r="494">
      <c r="B494" s="87"/>
      <c r="C494" s="88"/>
      <c r="D494" s="88"/>
      <c r="E494" s="88"/>
      <c r="F494" s="88"/>
      <c r="G494" s="114"/>
    </row>
    <row r="495">
      <c r="B495" s="87"/>
      <c r="C495" s="88"/>
      <c r="D495" s="88"/>
      <c r="E495" s="88"/>
      <c r="F495" s="88"/>
      <c r="G495" s="114"/>
    </row>
    <row r="496">
      <c r="B496" s="87"/>
      <c r="C496" s="88"/>
      <c r="D496" s="88"/>
      <c r="E496" s="88"/>
      <c r="F496" s="88"/>
      <c r="G496" s="114"/>
    </row>
    <row r="497">
      <c r="B497" s="87"/>
      <c r="C497" s="88"/>
      <c r="D497" s="88"/>
      <c r="E497" s="88"/>
      <c r="F497" s="88"/>
      <c r="G497" s="114"/>
    </row>
    <row r="498">
      <c r="B498" s="87"/>
      <c r="C498" s="88"/>
      <c r="D498" s="88"/>
      <c r="E498" s="88"/>
      <c r="F498" s="88"/>
      <c r="G498" s="114"/>
    </row>
    <row r="499">
      <c r="B499" s="87"/>
      <c r="C499" s="88"/>
      <c r="D499" s="88"/>
      <c r="E499" s="88"/>
      <c r="F499" s="88"/>
      <c r="G499" s="114"/>
    </row>
    <row r="500">
      <c r="B500" s="87"/>
      <c r="C500" s="88"/>
      <c r="D500" s="88"/>
      <c r="E500" s="88"/>
      <c r="F500" s="88"/>
      <c r="G500" s="114"/>
    </row>
    <row r="501">
      <c r="B501" s="87"/>
      <c r="C501" s="88"/>
      <c r="D501" s="88"/>
      <c r="E501" s="88"/>
      <c r="F501" s="88"/>
      <c r="G501" s="114"/>
    </row>
    <row r="502">
      <c r="B502" s="87"/>
      <c r="C502" s="88"/>
      <c r="D502" s="88"/>
      <c r="E502" s="88"/>
      <c r="F502" s="88"/>
      <c r="G502" s="114"/>
    </row>
    <row r="503">
      <c r="B503" s="87"/>
      <c r="C503" s="88"/>
      <c r="D503" s="88"/>
      <c r="E503" s="88"/>
      <c r="F503" s="88"/>
      <c r="G503" s="114"/>
    </row>
    <row r="504">
      <c r="B504" s="87"/>
      <c r="C504" s="88"/>
      <c r="D504" s="88"/>
      <c r="E504" s="88"/>
      <c r="F504" s="88"/>
      <c r="G504" s="114"/>
    </row>
    <row r="505">
      <c r="B505" s="87"/>
      <c r="C505" s="88"/>
      <c r="D505" s="88"/>
      <c r="E505" s="88"/>
      <c r="F505" s="88"/>
      <c r="G505" s="114"/>
    </row>
    <row r="506">
      <c r="B506" s="87"/>
      <c r="C506" s="88"/>
      <c r="D506" s="88"/>
      <c r="E506" s="88"/>
      <c r="F506" s="88"/>
      <c r="G506" s="114"/>
    </row>
    <row r="507">
      <c r="B507" s="87"/>
      <c r="C507" s="88"/>
      <c r="D507" s="88"/>
      <c r="E507" s="88"/>
      <c r="F507" s="88"/>
      <c r="G507" s="114"/>
    </row>
    <row r="508">
      <c r="B508" s="87"/>
      <c r="C508" s="88"/>
      <c r="D508" s="88"/>
      <c r="E508" s="88"/>
      <c r="F508" s="88"/>
      <c r="G508" s="114"/>
    </row>
    <row r="509">
      <c r="B509" s="87"/>
      <c r="C509" s="88"/>
      <c r="D509" s="88"/>
      <c r="E509" s="88"/>
      <c r="F509" s="88"/>
      <c r="G509" s="114"/>
    </row>
    <row r="510">
      <c r="B510" s="87"/>
      <c r="C510" s="88"/>
      <c r="D510" s="88"/>
      <c r="E510" s="88"/>
      <c r="F510" s="88"/>
      <c r="G510" s="114"/>
    </row>
    <row r="511">
      <c r="B511" s="87"/>
      <c r="C511" s="88"/>
      <c r="D511" s="88"/>
      <c r="E511" s="88"/>
      <c r="F511" s="88"/>
      <c r="G511" s="114"/>
    </row>
    <row r="512">
      <c r="B512" s="87"/>
      <c r="C512" s="88"/>
      <c r="D512" s="88"/>
      <c r="E512" s="88"/>
      <c r="F512" s="88"/>
      <c r="G512" s="114"/>
    </row>
    <row r="513">
      <c r="B513" s="87"/>
      <c r="C513" s="88"/>
      <c r="D513" s="88"/>
      <c r="E513" s="88"/>
      <c r="F513" s="88"/>
      <c r="G513" s="114"/>
    </row>
    <row r="514">
      <c r="B514" s="87"/>
      <c r="C514" s="88"/>
      <c r="D514" s="88"/>
      <c r="E514" s="88"/>
      <c r="F514" s="88"/>
      <c r="G514" s="114"/>
    </row>
    <row r="515">
      <c r="B515" s="87"/>
      <c r="C515" s="88"/>
      <c r="D515" s="88"/>
      <c r="E515" s="88"/>
      <c r="F515" s="88"/>
      <c r="G515" s="114"/>
    </row>
    <row r="516">
      <c r="B516" s="87"/>
      <c r="C516" s="88"/>
      <c r="D516" s="88"/>
      <c r="E516" s="88"/>
      <c r="F516" s="88"/>
      <c r="G516" s="114"/>
    </row>
    <row r="517">
      <c r="B517" s="87"/>
      <c r="C517" s="88"/>
      <c r="D517" s="88"/>
      <c r="E517" s="88"/>
      <c r="F517" s="88"/>
      <c r="G517" s="114"/>
    </row>
    <row r="518">
      <c r="B518" s="87"/>
      <c r="C518" s="88"/>
      <c r="D518" s="88"/>
      <c r="E518" s="88"/>
      <c r="F518" s="88"/>
      <c r="G518" s="114"/>
    </row>
    <row r="519">
      <c r="B519" s="87"/>
      <c r="C519" s="88"/>
      <c r="D519" s="88"/>
      <c r="E519" s="88"/>
      <c r="F519" s="88"/>
      <c r="G519" s="114"/>
    </row>
    <row r="520">
      <c r="B520" s="87"/>
      <c r="C520" s="88"/>
      <c r="D520" s="88"/>
      <c r="E520" s="88"/>
      <c r="F520" s="88"/>
      <c r="G520" s="114"/>
    </row>
    <row r="521">
      <c r="B521" s="87"/>
      <c r="C521" s="88"/>
      <c r="D521" s="88"/>
      <c r="E521" s="88"/>
      <c r="F521" s="88"/>
      <c r="G521" s="114"/>
    </row>
    <row r="522">
      <c r="B522" s="87"/>
      <c r="C522" s="88"/>
      <c r="D522" s="88"/>
      <c r="E522" s="88"/>
      <c r="F522" s="88"/>
      <c r="G522" s="114"/>
    </row>
    <row r="523">
      <c r="B523" s="87"/>
      <c r="C523" s="88"/>
      <c r="D523" s="88"/>
      <c r="E523" s="88"/>
      <c r="F523" s="88"/>
      <c r="G523" s="114"/>
    </row>
    <row r="524">
      <c r="B524" s="87"/>
      <c r="C524" s="88"/>
      <c r="D524" s="88"/>
      <c r="E524" s="88"/>
      <c r="F524" s="88"/>
      <c r="G524" s="114"/>
    </row>
    <row r="525">
      <c r="B525" s="87"/>
      <c r="C525" s="88"/>
      <c r="D525" s="88"/>
      <c r="E525" s="88"/>
      <c r="F525" s="88"/>
      <c r="G525" s="114"/>
    </row>
    <row r="526">
      <c r="B526" s="87"/>
      <c r="C526" s="88"/>
      <c r="D526" s="88"/>
      <c r="E526" s="88"/>
      <c r="F526" s="88"/>
      <c r="G526" s="114"/>
    </row>
    <row r="527">
      <c r="B527" s="87"/>
      <c r="C527" s="88"/>
      <c r="D527" s="88"/>
      <c r="E527" s="88"/>
      <c r="F527" s="88"/>
      <c r="G527" s="114"/>
    </row>
    <row r="528">
      <c r="B528" s="87"/>
      <c r="C528" s="88"/>
      <c r="D528" s="88"/>
      <c r="E528" s="88"/>
      <c r="F528" s="88"/>
      <c r="G528" s="114"/>
    </row>
    <row r="529">
      <c r="B529" s="87"/>
      <c r="C529" s="88"/>
      <c r="D529" s="88"/>
      <c r="E529" s="88"/>
      <c r="F529" s="88"/>
      <c r="G529" s="114"/>
    </row>
    <row r="530">
      <c r="B530" s="87"/>
      <c r="C530" s="88"/>
      <c r="D530" s="88"/>
      <c r="E530" s="88"/>
      <c r="F530" s="88"/>
      <c r="G530" s="114"/>
    </row>
    <row r="531">
      <c r="B531" s="87"/>
      <c r="C531" s="88"/>
      <c r="D531" s="88"/>
      <c r="E531" s="88"/>
      <c r="F531" s="88"/>
      <c r="G531" s="114"/>
    </row>
    <row r="532">
      <c r="B532" s="87"/>
      <c r="C532" s="88"/>
      <c r="D532" s="88"/>
      <c r="E532" s="88"/>
      <c r="F532" s="88"/>
      <c r="G532" s="114"/>
    </row>
    <row r="533">
      <c r="B533" s="87"/>
      <c r="C533" s="88"/>
      <c r="D533" s="88"/>
      <c r="E533" s="88"/>
      <c r="F533" s="88"/>
      <c r="G533" s="114"/>
    </row>
    <row r="534">
      <c r="B534" s="87"/>
      <c r="C534" s="88"/>
      <c r="D534" s="88"/>
      <c r="E534" s="88"/>
      <c r="F534" s="88"/>
      <c r="G534" s="114"/>
    </row>
    <row r="535">
      <c r="B535" s="87"/>
      <c r="C535" s="88"/>
      <c r="D535" s="88"/>
      <c r="E535" s="88"/>
      <c r="F535" s="88"/>
      <c r="G535" s="114"/>
    </row>
    <row r="536">
      <c r="B536" s="87"/>
      <c r="C536" s="88"/>
      <c r="D536" s="88"/>
      <c r="E536" s="88"/>
      <c r="F536" s="88"/>
      <c r="G536" s="114"/>
    </row>
    <row r="537">
      <c r="B537" s="87"/>
      <c r="C537" s="88"/>
      <c r="D537" s="88"/>
      <c r="E537" s="88"/>
      <c r="F537" s="88"/>
      <c r="G537" s="114"/>
    </row>
    <row r="538">
      <c r="B538" s="87"/>
      <c r="C538" s="88"/>
      <c r="D538" s="88"/>
      <c r="E538" s="88"/>
      <c r="F538" s="88"/>
      <c r="G538" s="114"/>
    </row>
    <row r="539">
      <c r="B539" s="87"/>
      <c r="C539" s="88"/>
      <c r="D539" s="88"/>
      <c r="E539" s="88"/>
      <c r="F539" s="88"/>
      <c r="G539" s="114"/>
    </row>
    <row r="540">
      <c r="B540" s="87"/>
      <c r="C540" s="88"/>
      <c r="D540" s="88"/>
      <c r="E540" s="88"/>
      <c r="F540" s="88"/>
      <c r="G540" s="114"/>
    </row>
    <row r="541">
      <c r="B541" s="87"/>
      <c r="C541" s="88"/>
      <c r="D541" s="88"/>
      <c r="E541" s="88"/>
      <c r="F541" s="88"/>
      <c r="G541" s="114"/>
    </row>
    <row r="542">
      <c r="B542" s="87"/>
      <c r="C542" s="88"/>
      <c r="D542" s="88"/>
      <c r="E542" s="88"/>
      <c r="F542" s="88"/>
      <c r="G542" s="114"/>
    </row>
    <row r="543">
      <c r="B543" s="87"/>
      <c r="C543" s="88"/>
      <c r="D543" s="88"/>
      <c r="E543" s="88"/>
      <c r="F543" s="88"/>
      <c r="G543" s="114"/>
    </row>
    <row r="544">
      <c r="B544" s="87"/>
      <c r="C544" s="88"/>
      <c r="D544" s="88"/>
      <c r="E544" s="88"/>
      <c r="F544" s="88"/>
      <c r="G544" s="114"/>
    </row>
    <row r="545">
      <c r="B545" s="87"/>
      <c r="C545" s="88"/>
      <c r="D545" s="88"/>
      <c r="E545" s="88"/>
      <c r="F545" s="88"/>
      <c r="G545" s="114"/>
    </row>
    <row r="546">
      <c r="B546" s="87"/>
      <c r="C546" s="88"/>
      <c r="D546" s="88"/>
      <c r="E546" s="88"/>
      <c r="F546" s="88"/>
      <c r="G546" s="114"/>
    </row>
    <row r="547">
      <c r="B547" s="87"/>
      <c r="C547" s="88"/>
      <c r="D547" s="88"/>
      <c r="E547" s="88"/>
      <c r="F547" s="88"/>
      <c r="G547" s="114"/>
    </row>
    <row r="548">
      <c r="B548" s="87"/>
      <c r="C548" s="88"/>
      <c r="D548" s="88"/>
      <c r="E548" s="88"/>
      <c r="F548" s="88"/>
      <c r="G548" s="114"/>
    </row>
    <row r="549">
      <c r="B549" s="87"/>
      <c r="C549" s="88"/>
      <c r="D549" s="88"/>
      <c r="E549" s="88"/>
      <c r="F549" s="88"/>
      <c r="G549" s="114"/>
    </row>
    <row r="550">
      <c r="B550" s="87"/>
      <c r="C550" s="88"/>
      <c r="D550" s="88"/>
      <c r="E550" s="88"/>
      <c r="F550" s="88"/>
      <c r="G550" s="114"/>
    </row>
    <row r="551">
      <c r="B551" s="87"/>
      <c r="C551" s="88"/>
      <c r="D551" s="88"/>
      <c r="E551" s="88"/>
      <c r="F551" s="88"/>
      <c r="G551" s="114"/>
    </row>
    <row r="552">
      <c r="B552" s="87"/>
      <c r="C552" s="88"/>
      <c r="D552" s="88"/>
      <c r="E552" s="88"/>
      <c r="F552" s="88"/>
      <c r="G552" s="114"/>
    </row>
    <row r="553">
      <c r="B553" s="87"/>
      <c r="C553" s="88"/>
      <c r="D553" s="88"/>
      <c r="E553" s="88"/>
      <c r="F553" s="88"/>
      <c r="G553" s="114"/>
    </row>
    <row r="554">
      <c r="B554" s="87"/>
      <c r="C554" s="88"/>
      <c r="D554" s="88"/>
      <c r="E554" s="88"/>
      <c r="F554" s="88"/>
      <c r="G554" s="114"/>
    </row>
    <row r="555">
      <c r="B555" s="87"/>
      <c r="C555" s="88"/>
      <c r="D555" s="88"/>
      <c r="E555" s="88"/>
      <c r="F555" s="88"/>
      <c r="G555" s="114"/>
    </row>
    <row r="556">
      <c r="B556" s="87"/>
      <c r="C556" s="88"/>
      <c r="D556" s="88"/>
      <c r="E556" s="88"/>
      <c r="F556" s="88"/>
      <c r="G556" s="114"/>
    </row>
    <row r="557">
      <c r="B557" s="87"/>
      <c r="C557" s="88"/>
      <c r="D557" s="88"/>
      <c r="E557" s="88"/>
      <c r="F557" s="88"/>
      <c r="G557" s="114"/>
    </row>
    <row r="558">
      <c r="B558" s="87"/>
      <c r="C558" s="88"/>
      <c r="D558" s="88"/>
      <c r="E558" s="88"/>
      <c r="F558" s="88"/>
      <c r="G558" s="114"/>
    </row>
    <row r="559">
      <c r="B559" s="87"/>
      <c r="C559" s="88"/>
      <c r="D559" s="88"/>
      <c r="E559" s="88"/>
      <c r="F559" s="88"/>
      <c r="G559" s="114"/>
    </row>
    <row r="560">
      <c r="B560" s="87"/>
      <c r="C560" s="88"/>
      <c r="D560" s="88"/>
      <c r="E560" s="88"/>
      <c r="F560" s="88"/>
      <c r="G560" s="114"/>
    </row>
    <row r="561">
      <c r="B561" s="87"/>
      <c r="C561" s="88"/>
      <c r="D561" s="88"/>
      <c r="E561" s="88"/>
      <c r="F561" s="88"/>
      <c r="G561" s="114"/>
    </row>
    <row r="562">
      <c r="B562" s="87"/>
      <c r="C562" s="88"/>
      <c r="D562" s="88"/>
      <c r="E562" s="88"/>
      <c r="F562" s="88"/>
      <c r="G562" s="114"/>
    </row>
    <row r="563">
      <c r="B563" s="87"/>
      <c r="C563" s="88"/>
      <c r="D563" s="88"/>
      <c r="E563" s="88"/>
      <c r="F563" s="88"/>
      <c r="G563" s="114"/>
    </row>
    <row r="564">
      <c r="B564" s="87"/>
      <c r="C564" s="88"/>
      <c r="D564" s="88"/>
      <c r="E564" s="88"/>
      <c r="F564" s="88"/>
      <c r="G564" s="114"/>
    </row>
    <row r="565">
      <c r="B565" s="87"/>
      <c r="C565" s="88"/>
      <c r="D565" s="88"/>
      <c r="E565" s="88"/>
      <c r="F565" s="88"/>
      <c r="G565" s="114"/>
    </row>
    <row r="566">
      <c r="B566" s="87"/>
      <c r="C566" s="88"/>
      <c r="D566" s="88"/>
      <c r="E566" s="88"/>
      <c r="F566" s="88"/>
      <c r="G566" s="114"/>
    </row>
    <row r="567">
      <c r="B567" s="87"/>
      <c r="C567" s="88"/>
      <c r="D567" s="88"/>
      <c r="E567" s="88"/>
      <c r="F567" s="88"/>
      <c r="G567" s="114"/>
    </row>
    <row r="568">
      <c r="B568" s="87"/>
      <c r="C568" s="88"/>
      <c r="D568" s="88"/>
      <c r="E568" s="88"/>
      <c r="F568" s="88"/>
      <c r="G568" s="114"/>
    </row>
    <row r="569">
      <c r="B569" s="87"/>
      <c r="C569" s="88"/>
      <c r="D569" s="88"/>
      <c r="E569" s="88"/>
      <c r="F569" s="88"/>
      <c r="G569" s="114"/>
    </row>
    <row r="570">
      <c r="B570" s="87"/>
      <c r="C570" s="88"/>
      <c r="D570" s="88"/>
      <c r="E570" s="88"/>
      <c r="F570" s="88"/>
      <c r="G570" s="114"/>
    </row>
    <row r="571">
      <c r="B571" s="87"/>
      <c r="C571" s="88"/>
      <c r="D571" s="88"/>
      <c r="E571" s="88"/>
      <c r="F571" s="88"/>
      <c r="G571" s="114"/>
    </row>
    <row r="572">
      <c r="B572" s="87"/>
      <c r="C572" s="88"/>
      <c r="D572" s="88"/>
      <c r="E572" s="88"/>
      <c r="F572" s="88"/>
      <c r="G572" s="114"/>
    </row>
    <row r="573">
      <c r="B573" s="87"/>
      <c r="C573" s="88"/>
      <c r="D573" s="88"/>
      <c r="E573" s="88"/>
      <c r="F573" s="88"/>
      <c r="G573" s="114"/>
    </row>
    <row r="574">
      <c r="B574" s="87"/>
      <c r="C574" s="88"/>
      <c r="D574" s="88"/>
      <c r="E574" s="88"/>
      <c r="F574" s="88"/>
      <c r="G574" s="114"/>
    </row>
    <row r="575">
      <c r="B575" s="87"/>
      <c r="C575" s="88"/>
      <c r="D575" s="88"/>
      <c r="E575" s="88"/>
      <c r="F575" s="88"/>
      <c r="G575" s="114"/>
    </row>
    <row r="576">
      <c r="B576" s="87"/>
      <c r="C576" s="88"/>
      <c r="D576" s="88"/>
      <c r="E576" s="88"/>
      <c r="F576" s="88"/>
      <c r="G576" s="114"/>
    </row>
    <row r="577">
      <c r="B577" s="87"/>
      <c r="C577" s="88"/>
      <c r="D577" s="88"/>
      <c r="E577" s="88"/>
      <c r="F577" s="88"/>
      <c r="G577" s="114"/>
    </row>
    <row r="578">
      <c r="B578" s="87"/>
      <c r="C578" s="88"/>
      <c r="D578" s="88"/>
      <c r="E578" s="88"/>
      <c r="F578" s="88"/>
      <c r="G578" s="114"/>
    </row>
    <row r="579">
      <c r="B579" s="87"/>
      <c r="C579" s="88"/>
      <c r="D579" s="88"/>
      <c r="E579" s="88"/>
      <c r="F579" s="88"/>
      <c r="G579" s="114"/>
    </row>
    <row r="580">
      <c r="B580" s="87"/>
      <c r="C580" s="88"/>
      <c r="D580" s="88"/>
      <c r="E580" s="88"/>
      <c r="F580" s="88"/>
      <c r="G580" s="114"/>
    </row>
    <row r="581">
      <c r="B581" s="87"/>
      <c r="C581" s="88"/>
      <c r="D581" s="88"/>
      <c r="E581" s="88"/>
      <c r="F581" s="88"/>
      <c r="G581" s="114"/>
    </row>
    <row r="582">
      <c r="B582" s="87"/>
      <c r="C582" s="88"/>
      <c r="D582" s="88"/>
      <c r="E582" s="88"/>
      <c r="F582" s="88"/>
      <c r="G582" s="114"/>
    </row>
    <row r="583">
      <c r="B583" s="87"/>
      <c r="C583" s="88"/>
      <c r="D583" s="88"/>
      <c r="E583" s="88"/>
      <c r="F583" s="88"/>
      <c r="G583" s="114"/>
    </row>
    <row r="584">
      <c r="B584" s="87"/>
      <c r="C584" s="88"/>
      <c r="D584" s="88"/>
      <c r="E584" s="88"/>
      <c r="F584" s="88"/>
      <c r="G584" s="114"/>
    </row>
    <row r="585">
      <c r="B585" s="87"/>
      <c r="C585" s="88"/>
      <c r="D585" s="88"/>
      <c r="E585" s="88"/>
      <c r="F585" s="88"/>
      <c r="G585" s="114"/>
    </row>
    <row r="586">
      <c r="B586" s="87"/>
      <c r="C586" s="88"/>
      <c r="D586" s="88"/>
      <c r="E586" s="88"/>
      <c r="F586" s="88"/>
      <c r="G586" s="114"/>
    </row>
    <row r="587">
      <c r="B587" s="87"/>
      <c r="C587" s="88"/>
      <c r="D587" s="88"/>
      <c r="E587" s="88"/>
      <c r="F587" s="88"/>
      <c r="G587" s="114"/>
    </row>
    <row r="588">
      <c r="B588" s="87"/>
      <c r="C588" s="88"/>
      <c r="D588" s="88"/>
      <c r="E588" s="88"/>
      <c r="F588" s="88"/>
      <c r="G588" s="114"/>
    </row>
    <row r="589">
      <c r="B589" s="87"/>
      <c r="C589" s="88"/>
      <c r="D589" s="88"/>
      <c r="E589" s="88"/>
      <c r="F589" s="88"/>
      <c r="G589" s="114"/>
    </row>
    <row r="590">
      <c r="B590" s="87"/>
      <c r="C590" s="88"/>
      <c r="D590" s="88"/>
      <c r="E590" s="88"/>
      <c r="F590" s="88"/>
      <c r="G590" s="114"/>
    </row>
    <row r="591">
      <c r="B591" s="87"/>
      <c r="C591" s="88"/>
      <c r="D591" s="88"/>
      <c r="E591" s="88"/>
      <c r="F591" s="88"/>
      <c r="G591" s="114"/>
    </row>
    <row r="592">
      <c r="B592" s="87"/>
      <c r="C592" s="88"/>
      <c r="D592" s="88"/>
      <c r="E592" s="88"/>
      <c r="F592" s="88"/>
      <c r="G592" s="114"/>
    </row>
    <row r="593">
      <c r="B593" s="87"/>
      <c r="C593" s="88"/>
      <c r="D593" s="88"/>
      <c r="E593" s="88"/>
      <c r="F593" s="88"/>
      <c r="G593" s="114"/>
    </row>
    <row r="594">
      <c r="B594" s="87"/>
      <c r="C594" s="88"/>
      <c r="D594" s="88"/>
      <c r="E594" s="88"/>
      <c r="F594" s="88"/>
      <c r="G594" s="114"/>
    </row>
    <row r="595">
      <c r="B595" s="87"/>
      <c r="C595" s="88"/>
      <c r="D595" s="88"/>
      <c r="E595" s="88"/>
      <c r="F595" s="88"/>
      <c r="G595" s="114"/>
    </row>
    <row r="596">
      <c r="B596" s="87"/>
      <c r="C596" s="88"/>
      <c r="D596" s="88"/>
      <c r="E596" s="88"/>
      <c r="F596" s="88"/>
      <c r="G596" s="114"/>
    </row>
    <row r="597">
      <c r="B597" s="87"/>
      <c r="C597" s="88"/>
      <c r="D597" s="88"/>
      <c r="E597" s="88"/>
      <c r="F597" s="88"/>
      <c r="G597" s="114"/>
    </row>
    <row r="598">
      <c r="B598" s="87"/>
      <c r="C598" s="88"/>
      <c r="D598" s="88"/>
      <c r="E598" s="88"/>
      <c r="F598" s="88"/>
      <c r="G598" s="114"/>
    </row>
    <row r="599">
      <c r="B599" s="87"/>
      <c r="C599" s="88"/>
      <c r="D599" s="88"/>
      <c r="E599" s="88"/>
      <c r="F599" s="88"/>
      <c r="G599" s="114"/>
    </row>
    <row r="600">
      <c r="B600" s="87"/>
      <c r="C600" s="88"/>
      <c r="D600" s="88"/>
      <c r="E600" s="88"/>
      <c r="F600" s="88"/>
      <c r="G600" s="114"/>
    </row>
    <row r="601">
      <c r="B601" s="87"/>
      <c r="C601" s="88"/>
      <c r="D601" s="88"/>
      <c r="E601" s="88"/>
      <c r="F601" s="88"/>
      <c r="G601" s="114"/>
    </row>
    <row r="602">
      <c r="B602" s="87"/>
      <c r="C602" s="88"/>
      <c r="D602" s="88"/>
      <c r="E602" s="88"/>
      <c r="F602" s="88"/>
      <c r="G602" s="114"/>
    </row>
    <row r="603">
      <c r="B603" s="87"/>
      <c r="C603" s="88"/>
      <c r="D603" s="88"/>
      <c r="E603" s="88"/>
      <c r="F603" s="88"/>
      <c r="G603" s="114"/>
    </row>
    <row r="604">
      <c r="B604" s="87"/>
      <c r="C604" s="88"/>
      <c r="D604" s="88"/>
      <c r="E604" s="88"/>
      <c r="F604" s="88"/>
      <c r="G604" s="114"/>
    </row>
    <row r="605">
      <c r="B605" s="87"/>
      <c r="C605" s="88"/>
      <c r="D605" s="88"/>
      <c r="E605" s="88"/>
      <c r="F605" s="88"/>
      <c r="G605" s="114"/>
    </row>
    <row r="606">
      <c r="B606" s="87"/>
      <c r="C606" s="88"/>
      <c r="D606" s="88"/>
      <c r="E606" s="88"/>
      <c r="F606" s="88"/>
      <c r="G606" s="114"/>
    </row>
    <row r="607">
      <c r="B607" s="87"/>
      <c r="C607" s="88"/>
      <c r="D607" s="88"/>
      <c r="E607" s="88"/>
      <c r="F607" s="88"/>
      <c r="G607" s="114"/>
    </row>
    <row r="608">
      <c r="B608" s="87"/>
      <c r="C608" s="88"/>
      <c r="D608" s="88"/>
      <c r="E608" s="88"/>
      <c r="F608" s="88"/>
      <c r="G608" s="114"/>
    </row>
    <row r="609">
      <c r="B609" s="87"/>
      <c r="C609" s="88"/>
      <c r="D609" s="88"/>
      <c r="E609" s="88"/>
      <c r="F609" s="88"/>
      <c r="G609" s="114"/>
    </row>
    <row r="610">
      <c r="B610" s="87"/>
      <c r="C610" s="88"/>
      <c r="D610" s="88"/>
      <c r="E610" s="88"/>
      <c r="F610" s="88"/>
      <c r="G610" s="114"/>
    </row>
    <row r="611">
      <c r="B611" s="87"/>
      <c r="C611" s="88"/>
      <c r="D611" s="88"/>
      <c r="E611" s="88"/>
      <c r="F611" s="88"/>
      <c r="G611" s="114"/>
    </row>
    <row r="612">
      <c r="B612" s="87"/>
      <c r="C612" s="88"/>
      <c r="D612" s="88"/>
      <c r="E612" s="88"/>
      <c r="F612" s="88"/>
      <c r="G612" s="114"/>
    </row>
    <row r="613">
      <c r="B613" s="87"/>
      <c r="C613" s="88"/>
      <c r="D613" s="88"/>
      <c r="E613" s="88"/>
      <c r="F613" s="88"/>
      <c r="G613" s="114"/>
    </row>
    <row r="614">
      <c r="B614" s="87"/>
      <c r="C614" s="88"/>
      <c r="D614" s="88"/>
      <c r="E614" s="88"/>
      <c r="F614" s="88"/>
      <c r="G614" s="114"/>
    </row>
    <row r="615">
      <c r="B615" s="87"/>
      <c r="C615" s="88"/>
      <c r="D615" s="88"/>
      <c r="E615" s="88"/>
      <c r="F615" s="88"/>
      <c r="G615" s="114"/>
    </row>
    <row r="616">
      <c r="B616" s="87"/>
      <c r="C616" s="88"/>
      <c r="D616" s="88"/>
      <c r="E616" s="88"/>
      <c r="F616" s="88"/>
      <c r="G616" s="114"/>
    </row>
    <row r="617">
      <c r="B617" s="87"/>
      <c r="C617" s="88"/>
      <c r="D617" s="88"/>
      <c r="E617" s="88"/>
      <c r="F617" s="88"/>
      <c r="G617" s="114"/>
    </row>
    <row r="618">
      <c r="B618" s="87"/>
      <c r="C618" s="88"/>
      <c r="D618" s="88"/>
      <c r="E618" s="88"/>
      <c r="F618" s="88"/>
      <c r="G618" s="114"/>
    </row>
    <row r="619">
      <c r="B619" s="87"/>
      <c r="C619" s="88"/>
      <c r="D619" s="88"/>
      <c r="E619" s="88"/>
      <c r="F619" s="88"/>
      <c r="G619" s="114"/>
    </row>
    <row r="620">
      <c r="B620" s="87"/>
      <c r="C620" s="88"/>
      <c r="D620" s="88"/>
      <c r="E620" s="88"/>
      <c r="F620" s="88"/>
      <c r="G620" s="114"/>
    </row>
    <row r="621">
      <c r="B621" s="87"/>
      <c r="C621" s="88"/>
      <c r="D621" s="88"/>
      <c r="E621" s="88"/>
      <c r="F621" s="88"/>
      <c r="G621" s="114"/>
    </row>
    <row r="622">
      <c r="B622" s="87"/>
      <c r="C622" s="88"/>
      <c r="D622" s="88"/>
      <c r="E622" s="88"/>
      <c r="F622" s="88"/>
      <c r="G622" s="114"/>
    </row>
    <row r="623">
      <c r="B623" s="87"/>
      <c r="C623" s="88"/>
      <c r="D623" s="88"/>
      <c r="E623" s="88"/>
      <c r="F623" s="88"/>
      <c r="G623" s="114"/>
    </row>
    <row r="624">
      <c r="B624" s="87"/>
      <c r="C624" s="88"/>
      <c r="D624" s="88"/>
      <c r="E624" s="88"/>
      <c r="F624" s="88"/>
      <c r="G624" s="114"/>
    </row>
    <row r="625">
      <c r="B625" s="87"/>
      <c r="C625" s="88"/>
      <c r="D625" s="88"/>
      <c r="E625" s="88"/>
      <c r="F625" s="88"/>
      <c r="G625" s="114"/>
    </row>
    <row r="626">
      <c r="B626" s="87"/>
      <c r="C626" s="88"/>
      <c r="D626" s="88"/>
      <c r="E626" s="88"/>
      <c r="F626" s="88"/>
      <c r="G626" s="114"/>
    </row>
    <row r="627">
      <c r="B627" s="87"/>
      <c r="C627" s="88"/>
      <c r="D627" s="88"/>
      <c r="E627" s="88"/>
      <c r="F627" s="88"/>
      <c r="G627" s="114"/>
    </row>
    <row r="628">
      <c r="B628" s="87"/>
      <c r="C628" s="88"/>
      <c r="D628" s="88"/>
      <c r="E628" s="88"/>
      <c r="F628" s="88"/>
      <c r="G628" s="114"/>
    </row>
    <row r="629">
      <c r="B629" s="87"/>
      <c r="C629" s="88"/>
      <c r="D629" s="88"/>
      <c r="E629" s="88"/>
      <c r="F629" s="88"/>
      <c r="G629" s="114"/>
    </row>
    <row r="630">
      <c r="B630" s="87"/>
      <c r="C630" s="88"/>
      <c r="D630" s="88"/>
      <c r="E630" s="88"/>
      <c r="F630" s="88"/>
      <c r="G630" s="114"/>
    </row>
    <row r="631">
      <c r="B631" s="87"/>
      <c r="C631" s="88"/>
      <c r="D631" s="88"/>
      <c r="E631" s="88"/>
      <c r="F631" s="88"/>
      <c r="G631" s="114"/>
    </row>
    <row r="632">
      <c r="B632" s="87"/>
      <c r="C632" s="88"/>
      <c r="D632" s="88"/>
      <c r="E632" s="88"/>
      <c r="F632" s="88"/>
      <c r="G632" s="114"/>
    </row>
    <row r="633">
      <c r="B633" s="87"/>
      <c r="C633" s="88"/>
      <c r="D633" s="88"/>
      <c r="E633" s="88"/>
      <c r="F633" s="88"/>
      <c r="G633" s="114"/>
    </row>
    <row r="634">
      <c r="B634" s="87"/>
      <c r="C634" s="88"/>
      <c r="D634" s="88"/>
      <c r="E634" s="88"/>
      <c r="F634" s="88"/>
      <c r="G634" s="114"/>
    </row>
    <row r="635">
      <c r="B635" s="87"/>
      <c r="C635" s="88"/>
      <c r="D635" s="88"/>
      <c r="E635" s="88"/>
      <c r="F635" s="88"/>
      <c r="G635" s="114"/>
    </row>
    <row r="636">
      <c r="B636" s="87"/>
      <c r="C636" s="88"/>
      <c r="D636" s="88"/>
      <c r="E636" s="88"/>
      <c r="F636" s="88"/>
      <c r="G636" s="114"/>
    </row>
    <row r="637">
      <c r="B637" s="87"/>
      <c r="C637" s="88"/>
      <c r="D637" s="88"/>
      <c r="E637" s="88"/>
      <c r="F637" s="88"/>
      <c r="G637" s="114"/>
    </row>
    <row r="638">
      <c r="B638" s="87"/>
      <c r="C638" s="88"/>
      <c r="D638" s="88"/>
      <c r="E638" s="88"/>
      <c r="F638" s="88"/>
      <c r="G638" s="114"/>
    </row>
    <row r="639">
      <c r="B639" s="87"/>
      <c r="C639" s="88"/>
      <c r="D639" s="88"/>
      <c r="E639" s="88"/>
      <c r="F639" s="88"/>
      <c r="G639" s="114"/>
    </row>
    <row r="640">
      <c r="B640" s="87"/>
      <c r="C640" s="88"/>
      <c r="D640" s="88"/>
      <c r="E640" s="88"/>
      <c r="F640" s="88"/>
      <c r="G640" s="114"/>
    </row>
    <row r="641">
      <c r="B641" s="87"/>
      <c r="C641" s="88"/>
      <c r="D641" s="88"/>
      <c r="E641" s="88"/>
      <c r="F641" s="88"/>
      <c r="G641" s="114"/>
    </row>
    <row r="642">
      <c r="B642" s="87"/>
      <c r="C642" s="88"/>
      <c r="D642" s="88"/>
      <c r="E642" s="88"/>
      <c r="F642" s="88"/>
      <c r="G642" s="114"/>
    </row>
    <row r="643">
      <c r="B643" s="87"/>
      <c r="C643" s="88"/>
      <c r="D643" s="88"/>
      <c r="E643" s="88"/>
      <c r="F643" s="88"/>
      <c r="G643" s="114"/>
    </row>
    <row r="644">
      <c r="B644" s="87"/>
      <c r="C644" s="88"/>
      <c r="D644" s="88"/>
      <c r="E644" s="88"/>
      <c r="F644" s="88"/>
      <c r="G644" s="114"/>
    </row>
    <row r="645">
      <c r="B645" s="87"/>
      <c r="C645" s="88"/>
      <c r="D645" s="88"/>
      <c r="E645" s="88"/>
      <c r="F645" s="88"/>
      <c r="G645" s="114"/>
    </row>
    <row r="646">
      <c r="B646" s="87"/>
      <c r="C646" s="88"/>
      <c r="D646" s="88"/>
      <c r="E646" s="88"/>
      <c r="F646" s="88"/>
      <c r="G646" s="114"/>
    </row>
    <row r="647">
      <c r="B647" s="87"/>
      <c r="C647" s="88"/>
      <c r="D647" s="88"/>
      <c r="E647" s="88"/>
      <c r="F647" s="88"/>
      <c r="G647" s="114"/>
    </row>
    <row r="648">
      <c r="B648" s="87"/>
      <c r="C648" s="88"/>
      <c r="D648" s="88"/>
      <c r="E648" s="88"/>
      <c r="F648" s="88"/>
      <c r="G648" s="114"/>
    </row>
    <row r="649">
      <c r="B649" s="87"/>
      <c r="C649" s="88"/>
      <c r="D649" s="88"/>
      <c r="E649" s="88"/>
      <c r="F649" s="88"/>
      <c r="G649" s="114"/>
    </row>
    <row r="650">
      <c r="B650" s="87"/>
      <c r="C650" s="88"/>
      <c r="D650" s="88"/>
      <c r="E650" s="88"/>
      <c r="F650" s="88"/>
      <c r="G650" s="114"/>
    </row>
    <row r="651">
      <c r="B651" s="87"/>
      <c r="C651" s="88"/>
      <c r="D651" s="88"/>
      <c r="E651" s="88"/>
      <c r="F651" s="88"/>
      <c r="G651" s="114"/>
    </row>
    <row r="652">
      <c r="B652" s="87"/>
      <c r="C652" s="88"/>
      <c r="D652" s="88"/>
      <c r="E652" s="88"/>
      <c r="F652" s="88"/>
      <c r="G652" s="114"/>
    </row>
    <row r="653">
      <c r="B653" s="87"/>
      <c r="C653" s="88"/>
      <c r="D653" s="88"/>
      <c r="E653" s="88"/>
      <c r="F653" s="88"/>
      <c r="G653" s="114"/>
    </row>
    <row r="654">
      <c r="B654" s="87"/>
      <c r="C654" s="88"/>
      <c r="D654" s="88"/>
      <c r="E654" s="88"/>
      <c r="F654" s="88"/>
      <c r="G654" s="114"/>
    </row>
    <row r="655">
      <c r="B655" s="87"/>
      <c r="C655" s="88"/>
      <c r="D655" s="88"/>
      <c r="E655" s="88"/>
      <c r="F655" s="88"/>
      <c r="G655" s="114"/>
    </row>
    <row r="656">
      <c r="B656" s="87"/>
      <c r="C656" s="88"/>
      <c r="D656" s="88"/>
      <c r="E656" s="88"/>
      <c r="F656" s="88"/>
      <c r="G656" s="114"/>
    </row>
    <row r="657">
      <c r="B657" s="87"/>
      <c r="C657" s="88"/>
      <c r="D657" s="88"/>
      <c r="E657" s="88"/>
      <c r="F657" s="88"/>
      <c r="G657" s="114"/>
    </row>
    <row r="658">
      <c r="B658" s="87"/>
      <c r="C658" s="88"/>
      <c r="D658" s="88"/>
      <c r="E658" s="88"/>
      <c r="F658" s="88"/>
      <c r="G658" s="114"/>
    </row>
    <row r="659">
      <c r="B659" s="87"/>
      <c r="C659" s="88"/>
      <c r="D659" s="88"/>
      <c r="E659" s="88"/>
      <c r="F659" s="88"/>
      <c r="G659" s="114"/>
    </row>
    <row r="660">
      <c r="B660" s="87"/>
      <c r="C660" s="88"/>
      <c r="D660" s="88"/>
      <c r="E660" s="88"/>
      <c r="F660" s="88"/>
      <c r="G660" s="114"/>
    </row>
    <row r="661">
      <c r="B661" s="87"/>
      <c r="C661" s="88"/>
      <c r="D661" s="88"/>
      <c r="E661" s="88"/>
      <c r="F661" s="88"/>
      <c r="G661" s="114"/>
    </row>
    <row r="662">
      <c r="B662" s="87"/>
      <c r="C662" s="88"/>
      <c r="D662" s="88"/>
      <c r="E662" s="88"/>
      <c r="F662" s="88"/>
      <c r="G662" s="114"/>
    </row>
    <row r="663">
      <c r="B663" s="87"/>
      <c r="C663" s="88"/>
      <c r="D663" s="88"/>
      <c r="E663" s="88"/>
      <c r="F663" s="88"/>
      <c r="G663" s="114"/>
    </row>
    <row r="664">
      <c r="B664" s="87"/>
      <c r="C664" s="88"/>
      <c r="D664" s="88"/>
      <c r="E664" s="88"/>
      <c r="F664" s="88"/>
      <c r="G664" s="114"/>
    </row>
    <row r="665">
      <c r="B665" s="87"/>
      <c r="C665" s="88"/>
      <c r="D665" s="88"/>
      <c r="E665" s="88"/>
      <c r="F665" s="88"/>
      <c r="G665" s="114"/>
    </row>
    <row r="666">
      <c r="B666" s="87"/>
      <c r="C666" s="88"/>
      <c r="D666" s="88"/>
      <c r="E666" s="88"/>
      <c r="F666" s="88"/>
      <c r="G666" s="114"/>
    </row>
    <row r="667">
      <c r="B667" s="87"/>
      <c r="C667" s="88"/>
      <c r="D667" s="88"/>
      <c r="E667" s="88"/>
      <c r="F667" s="88"/>
      <c r="G667" s="114"/>
    </row>
    <row r="668">
      <c r="B668" s="87"/>
      <c r="C668" s="88"/>
      <c r="D668" s="88"/>
      <c r="E668" s="88"/>
      <c r="F668" s="88"/>
      <c r="G668" s="114"/>
    </row>
    <row r="669">
      <c r="B669" s="87"/>
      <c r="C669" s="88"/>
      <c r="D669" s="88"/>
      <c r="E669" s="88"/>
      <c r="F669" s="88"/>
      <c r="G669" s="114"/>
    </row>
    <row r="670">
      <c r="B670" s="87"/>
      <c r="C670" s="88"/>
      <c r="D670" s="88"/>
      <c r="E670" s="88"/>
      <c r="F670" s="88"/>
      <c r="G670" s="114"/>
    </row>
    <row r="671">
      <c r="B671" s="87"/>
      <c r="C671" s="88"/>
      <c r="D671" s="88"/>
      <c r="E671" s="88"/>
      <c r="F671" s="88"/>
      <c r="G671" s="114"/>
    </row>
    <row r="672">
      <c r="B672" s="87"/>
      <c r="C672" s="88"/>
      <c r="D672" s="88"/>
      <c r="E672" s="88"/>
      <c r="F672" s="88"/>
      <c r="G672" s="114"/>
    </row>
    <row r="673">
      <c r="B673" s="87"/>
      <c r="C673" s="88"/>
      <c r="D673" s="88"/>
      <c r="E673" s="88"/>
      <c r="F673" s="88"/>
      <c r="G673" s="114"/>
    </row>
    <row r="674">
      <c r="B674" s="87"/>
      <c r="C674" s="88"/>
      <c r="D674" s="88"/>
      <c r="E674" s="88"/>
      <c r="F674" s="88"/>
      <c r="G674" s="114"/>
    </row>
    <row r="675">
      <c r="B675" s="87"/>
      <c r="C675" s="88"/>
      <c r="D675" s="88"/>
      <c r="E675" s="88"/>
      <c r="F675" s="88"/>
      <c r="G675" s="114"/>
    </row>
    <row r="676">
      <c r="B676" s="87"/>
      <c r="C676" s="88"/>
      <c r="D676" s="88"/>
      <c r="E676" s="88"/>
      <c r="F676" s="88"/>
      <c r="G676" s="114"/>
    </row>
    <row r="677">
      <c r="B677" s="87"/>
      <c r="C677" s="88"/>
      <c r="D677" s="88"/>
      <c r="E677" s="88"/>
      <c r="F677" s="88"/>
      <c r="G677" s="114"/>
    </row>
    <row r="678">
      <c r="B678" s="87"/>
      <c r="C678" s="88"/>
      <c r="D678" s="88"/>
      <c r="E678" s="88"/>
      <c r="F678" s="88"/>
      <c r="G678" s="114"/>
    </row>
    <row r="679">
      <c r="B679" s="87"/>
      <c r="C679" s="88"/>
      <c r="D679" s="88"/>
      <c r="E679" s="88"/>
      <c r="F679" s="88"/>
      <c r="G679" s="114"/>
    </row>
    <row r="680">
      <c r="B680" s="87"/>
      <c r="C680" s="88"/>
      <c r="D680" s="88"/>
      <c r="E680" s="88"/>
      <c r="F680" s="88"/>
      <c r="G680" s="114"/>
    </row>
    <row r="681">
      <c r="B681" s="87"/>
      <c r="C681" s="88"/>
      <c r="D681" s="88"/>
      <c r="E681" s="88"/>
      <c r="F681" s="88"/>
      <c r="G681" s="114"/>
    </row>
    <row r="682">
      <c r="B682" s="87"/>
      <c r="C682" s="88"/>
      <c r="D682" s="88"/>
      <c r="E682" s="88"/>
      <c r="F682" s="88"/>
      <c r="G682" s="114"/>
    </row>
    <row r="683">
      <c r="B683" s="87"/>
      <c r="C683" s="88"/>
      <c r="D683" s="88"/>
      <c r="E683" s="88"/>
      <c r="F683" s="88"/>
      <c r="G683" s="114"/>
    </row>
    <row r="684">
      <c r="B684" s="87"/>
      <c r="C684" s="88"/>
      <c r="D684" s="88"/>
      <c r="E684" s="88"/>
      <c r="F684" s="88"/>
      <c r="G684" s="114"/>
    </row>
    <row r="685">
      <c r="B685" s="87"/>
      <c r="C685" s="88"/>
      <c r="D685" s="88"/>
      <c r="E685" s="88"/>
      <c r="F685" s="88"/>
      <c r="G685" s="114"/>
    </row>
    <row r="686">
      <c r="B686" s="87"/>
      <c r="C686" s="88"/>
      <c r="D686" s="88"/>
      <c r="E686" s="88"/>
      <c r="F686" s="88"/>
      <c r="G686" s="114"/>
    </row>
    <row r="687">
      <c r="B687" s="87"/>
      <c r="C687" s="88"/>
      <c r="D687" s="88"/>
      <c r="E687" s="88"/>
      <c r="F687" s="88"/>
      <c r="G687" s="114"/>
    </row>
    <row r="688">
      <c r="B688" s="87"/>
      <c r="C688" s="88"/>
      <c r="D688" s="88"/>
      <c r="E688" s="88"/>
      <c r="F688" s="88"/>
      <c r="G688" s="114"/>
    </row>
    <row r="689">
      <c r="B689" s="87"/>
      <c r="C689" s="88"/>
      <c r="D689" s="88"/>
      <c r="E689" s="88"/>
      <c r="F689" s="88"/>
      <c r="G689" s="114"/>
    </row>
    <row r="690">
      <c r="B690" s="87"/>
      <c r="C690" s="88"/>
      <c r="D690" s="88"/>
      <c r="E690" s="88"/>
      <c r="F690" s="88"/>
      <c r="G690" s="114"/>
    </row>
    <row r="691">
      <c r="B691" s="87"/>
      <c r="C691" s="88"/>
      <c r="D691" s="88"/>
      <c r="E691" s="88"/>
      <c r="F691" s="88"/>
      <c r="G691" s="114"/>
    </row>
    <row r="692">
      <c r="B692" s="87"/>
      <c r="C692" s="88"/>
      <c r="D692" s="88"/>
      <c r="E692" s="88"/>
      <c r="F692" s="88"/>
      <c r="G692" s="114"/>
    </row>
    <row r="693">
      <c r="B693" s="87"/>
      <c r="C693" s="88"/>
      <c r="D693" s="88"/>
      <c r="E693" s="88"/>
      <c r="F693" s="88"/>
      <c r="G693" s="114"/>
    </row>
    <row r="694">
      <c r="B694" s="87"/>
      <c r="C694" s="88"/>
      <c r="D694" s="88"/>
      <c r="E694" s="88"/>
      <c r="F694" s="88"/>
      <c r="G694" s="114"/>
    </row>
    <row r="695">
      <c r="B695" s="87"/>
      <c r="C695" s="88"/>
      <c r="D695" s="88"/>
      <c r="E695" s="88"/>
      <c r="F695" s="88"/>
      <c r="G695" s="114"/>
    </row>
    <row r="696">
      <c r="B696" s="87"/>
      <c r="C696" s="88"/>
      <c r="D696" s="88"/>
      <c r="E696" s="88"/>
      <c r="F696" s="88"/>
      <c r="G696" s="114"/>
    </row>
    <row r="697">
      <c r="B697" s="87"/>
      <c r="C697" s="88"/>
      <c r="D697" s="88"/>
      <c r="E697" s="88"/>
      <c r="F697" s="88"/>
      <c r="G697" s="114"/>
    </row>
    <row r="698">
      <c r="B698" s="87"/>
      <c r="C698" s="88"/>
      <c r="D698" s="88"/>
      <c r="E698" s="88"/>
      <c r="F698" s="88"/>
      <c r="G698" s="114"/>
    </row>
    <row r="699">
      <c r="B699" s="87"/>
      <c r="C699" s="88"/>
      <c r="D699" s="88"/>
      <c r="E699" s="88"/>
      <c r="F699" s="88"/>
      <c r="G699" s="114"/>
    </row>
    <row r="700">
      <c r="B700" s="87"/>
      <c r="C700" s="88"/>
      <c r="D700" s="88"/>
      <c r="E700" s="88"/>
      <c r="F700" s="88"/>
      <c r="G700" s="114"/>
    </row>
    <row r="701">
      <c r="B701" s="87"/>
      <c r="C701" s="88"/>
      <c r="D701" s="88"/>
      <c r="E701" s="88"/>
      <c r="F701" s="88"/>
      <c r="G701" s="114"/>
    </row>
    <row r="702">
      <c r="B702" s="87"/>
      <c r="C702" s="88"/>
      <c r="D702" s="88"/>
      <c r="E702" s="88"/>
      <c r="F702" s="88"/>
      <c r="G702" s="114"/>
    </row>
    <row r="703">
      <c r="B703" s="87"/>
      <c r="C703" s="88"/>
      <c r="D703" s="88"/>
      <c r="E703" s="88"/>
      <c r="F703" s="88"/>
      <c r="G703" s="114"/>
    </row>
    <row r="704">
      <c r="B704" s="87"/>
      <c r="C704" s="88"/>
      <c r="D704" s="88"/>
      <c r="E704" s="88"/>
      <c r="F704" s="88"/>
      <c r="G704" s="114"/>
    </row>
    <row r="705">
      <c r="B705" s="87"/>
      <c r="C705" s="88"/>
      <c r="D705" s="88"/>
      <c r="E705" s="88"/>
      <c r="F705" s="88"/>
      <c r="G705" s="114"/>
    </row>
    <row r="706">
      <c r="B706" s="87"/>
      <c r="C706" s="88"/>
      <c r="D706" s="88"/>
      <c r="E706" s="88"/>
      <c r="F706" s="88"/>
      <c r="G706" s="114"/>
    </row>
    <row r="707">
      <c r="B707" s="87"/>
      <c r="C707" s="88"/>
      <c r="D707" s="88"/>
      <c r="E707" s="88"/>
      <c r="F707" s="88"/>
      <c r="G707" s="114"/>
    </row>
    <row r="708">
      <c r="B708" s="87"/>
      <c r="C708" s="88"/>
      <c r="D708" s="88"/>
      <c r="E708" s="88"/>
      <c r="F708" s="88"/>
      <c r="G708" s="114"/>
    </row>
    <row r="709">
      <c r="B709" s="87"/>
      <c r="C709" s="88"/>
      <c r="D709" s="88"/>
      <c r="E709" s="88"/>
      <c r="F709" s="88"/>
      <c r="G709" s="114"/>
    </row>
    <row r="710">
      <c r="B710" s="87"/>
      <c r="C710" s="88"/>
      <c r="D710" s="88"/>
      <c r="E710" s="88"/>
      <c r="F710" s="88"/>
      <c r="G710" s="114"/>
    </row>
    <row r="711">
      <c r="B711" s="87"/>
      <c r="C711" s="88"/>
      <c r="D711" s="88"/>
      <c r="E711" s="88"/>
      <c r="F711" s="88"/>
      <c r="G711" s="114"/>
    </row>
    <row r="712">
      <c r="B712" s="87"/>
      <c r="C712" s="88"/>
      <c r="D712" s="88"/>
      <c r="E712" s="88"/>
      <c r="F712" s="88"/>
      <c r="G712" s="114"/>
    </row>
    <row r="713">
      <c r="B713" s="87"/>
      <c r="C713" s="88"/>
      <c r="D713" s="88"/>
      <c r="E713" s="88"/>
      <c r="F713" s="88"/>
      <c r="G713" s="114"/>
    </row>
    <row r="714">
      <c r="B714" s="87"/>
      <c r="C714" s="88"/>
      <c r="D714" s="88"/>
      <c r="E714" s="88"/>
      <c r="F714" s="88"/>
      <c r="G714" s="114"/>
    </row>
    <row r="715">
      <c r="B715" s="87"/>
      <c r="C715" s="88"/>
      <c r="D715" s="88"/>
      <c r="E715" s="88"/>
      <c r="F715" s="88"/>
      <c r="G715" s="114"/>
    </row>
    <row r="716">
      <c r="B716" s="87"/>
      <c r="C716" s="88"/>
      <c r="D716" s="88"/>
      <c r="E716" s="88"/>
      <c r="F716" s="88"/>
      <c r="G716" s="114"/>
    </row>
    <row r="717">
      <c r="B717" s="87"/>
      <c r="C717" s="88"/>
      <c r="D717" s="88"/>
      <c r="E717" s="88"/>
      <c r="F717" s="88"/>
      <c r="G717" s="114"/>
    </row>
    <row r="718">
      <c r="B718" s="87"/>
      <c r="C718" s="88"/>
      <c r="D718" s="88"/>
      <c r="E718" s="88"/>
      <c r="F718" s="88"/>
      <c r="G718" s="114"/>
    </row>
    <row r="719">
      <c r="B719" s="87"/>
      <c r="C719" s="88"/>
      <c r="D719" s="88"/>
      <c r="E719" s="88"/>
      <c r="F719" s="88"/>
      <c r="G719" s="114"/>
    </row>
    <row r="720">
      <c r="B720" s="87"/>
      <c r="C720" s="88"/>
      <c r="D720" s="88"/>
      <c r="E720" s="88"/>
      <c r="F720" s="88"/>
      <c r="G720" s="114"/>
    </row>
    <row r="721">
      <c r="B721" s="87"/>
      <c r="C721" s="88"/>
      <c r="D721" s="88"/>
      <c r="E721" s="88"/>
      <c r="F721" s="88"/>
      <c r="G721" s="114"/>
    </row>
    <row r="722">
      <c r="B722" s="87"/>
      <c r="C722" s="88"/>
      <c r="D722" s="88"/>
      <c r="E722" s="88"/>
      <c r="F722" s="88"/>
      <c r="G722" s="114"/>
    </row>
    <row r="723">
      <c r="B723" s="87"/>
      <c r="C723" s="88"/>
      <c r="D723" s="88"/>
      <c r="E723" s="88"/>
      <c r="F723" s="88"/>
      <c r="G723" s="114"/>
    </row>
    <row r="724">
      <c r="B724" s="87"/>
      <c r="C724" s="88"/>
      <c r="D724" s="88"/>
      <c r="E724" s="88"/>
      <c r="F724" s="88"/>
      <c r="G724" s="114"/>
    </row>
    <row r="725">
      <c r="B725" s="87"/>
      <c r="C725" s="88"/>
      <c r="D725" s="88"/>
      <c r="E725" s="88"/>
      <c r="F725" s="88"/>
      <c r="G725" s="114"/>
    </row>
    <row r="726">
      <c r="B726" s="87"/>
      <c r="C726" s="88"/>
      <c r="D726" s="88"/>
      <c r="E726" s="88"/>
      <c r="F726" s="88"/>
      <c r="G726" s="114"/>
    </row>
    <row r="727">
      <c r="B727" s="87"/>
      <c r="C727" s="88"/>
      <c r="D727" s="88"/>
      <c r="E727" s="88"/>
      <c r="F727" s="88"/>
      <c r="G727" s="114"/>
    </row>
    <row r="728">
      <c r="B728" s="87"/>
      <c r="C728" s="88"/>
      <c r="D728" s="88"/>
      <c r="E728" s="88"/>
      <c r="F728" s="88"/>
      <c r="G728" s="114"/>
    </row>
    <row r="729">
      <c r="B729" s="87"/>
      <c r="C729" s="88"/>
      <c r="D729" s="88"/>
      <c r="E729" s="88"/>
      <c r="F729" s="88"/>
      <c r="G729" s="114"/>
    </row>
    <row r="730">
      <c r="B730" s="87"/>
      <c r="C730" s="88"/>
      <c r="D730" s="88"/>
      <c r="E730" s="88"/>
      <c r="F730" s="88"/>
      <c r="G730" s="114"/>
    </row>
    <row r="731">
      <c r="B731" s="87"/>
      <c r="C731" s="88"/>
      <c r="D731" s="88"/>
      <c r="E731" s="88"/>
      <c r="F731" s="88"/>
      <c r="G731" s="114"/>
    </row>
    <row r="732">
      <c r="B732" s="87"/>
      <c r="C732" s="88"/>
      <c r="D732" s="88"/>
      <c r="E732" s="88"/>
      <c r="F732" s="88"/>
      <c r="G732" s="114"/>
    </row>
    <row r="733">
      <c r="B733" s="87"/>
      <c r="C733" s="88"/>
      <c r="D733" s="88"/>
      <c r="E733" s="88"/>
      <c r="F733" s="88"/>
      <c r="G733" s="114"/>
    </row>
    <row r="734">
      <c r="B734" s="87"/>
      <c r="C734" s="88"/>
      <c r="D734" s="88"/>
      <c r="E734" s="88"/>
      <c r="F734" s="88"/>
      <c r="G734" s="114"/>
    </row>
    <row r="735">
      <c r="B735" s="87"/>
      <c r="C735" s="88"/>
      <c r="D735" s="88"/>
      <c r="E735" s="88"/>
      <c r="F735" s="88"/>
      <c r="G735" s="114"/>
    </row>
    <row r="736">
      <c r="B736" s="87"/>
      <c r="C736" s="88"/>
      <c r="D736" s="88"/>
      <c r="E736" s="88"/>
      <c r="F736" s="88"/>
      <c r="G736" s="114"/>
    </row>
    <row r="737">
      <c r="B737" s="87"/>
      <c r="C737" s="88"/>
      <c r="D737" s="88"/>
      <c r="E737" s="88"/>
      <c r="F737" s="88"/>
      <c r="G737" s="114"/>
    </row>
    <row r="738">
      <c r="B738" s="87"/>
      <c r="C738" s="88"/>
      <c r="D738" s="88"/>
      <c r="E738" s="88"/>
      <c r="F738" s="88"/>
      <c r="G738" s="114"/>
    </row>
    <row r="739">
      <c r="B739" s="87"/>
      <c r="C739" s="88"/>
      <c r="D739" s="88"/>
      <c r="E739" s="88"/>
      <c r="F739" s="88"/>
      <c r="G739" s="114"/>
    </row>
    <row r="740">
      <c r="B740" s="87"/>
      <c r="C740" s="88"/>
      <c r="D740" s="88"/>
      <c r="E740" s="88"/>
      <c r="F740" s="88"/>
      <c r="G740" s="114"/>
    </row>
    <row r="741">
      <c r="B741" s="87"/>
      <c r="C741" s="88"/>
      <c r="D741" s="88"/>
      <c r="E741" s="88"/>
      <c r="F741" s="88"/>
      <c r="G741" s="114"/>
    </row>
    <row r="742">
      <c r="B742" s="87"/>
      <c r="C742" s="88"/>
      <c r="D742" s="88"/>
      <c r="E742" s="88"/>
      <c r="F742" s="88"/>
      <c r="G742" s="114"/>
    </row>
    <row r="743">
      <c r="B743" s="87"/>
      <c r="C743" s="88"/>
      <c r="D743" s="88"/>
      <c r="E743" s="88"/>
      <c r="F743" s="88"/>
      <c r="G743" s="114"/>
    </row>
    <row r="744">
      <c r="B744" s="87"/>
      <c r="C744" s="88"/>
      <c r="D744" s="88"/>
      <c r="E744" s="88"/>
      <c r="F744" s="88"/>
      <c r="G744" s="114"/>
    </row>
    <row r="745">
      <c r="B745" s="87"/>
      <c r="C745" s="88"/>
      <c r="D745" s="88"/>
      <c r="E745" s="88"/>
      <c r="F745" s="88"/>
      <c r="G745" s="114"/>
    </row>
    <row r="746">
      <c r="B746" s="87"/>
      <c r="C746" s="88"/>
      <c r="D746" s="88"/>
      <c r="E746" s="88"/>
      <c r="F746" s="88"/>
      <c r="G746" s="114"/>
    </row>
    <row r="747">
      <c r="B747" s="87"/>
      <c r="C747" s="88"/>
      <c r="D747" s="88"/>
      <c r="E747" s="88"/>
      <c r="F747" s="88"/>
      <c r="G747" s="114"/>
    </row>
    <row r="748">
      <c r="B748" s="87"/>
      <c r="C748" s="88"/>
      <c r="D748" s="88"/>
      <c r="E748" s="88"/>
      <c r="F748" s="88"/>
      <c r="G748" s="114"/>
    </row>
    <row r="749">
      <c r="B749" s="87"/>
      <c r="C749" s="88"/>
      <c r="D749" s="88"/>
      <c r="E749" s="88"/>
      <c r="F749" s="88"/>
      <c r="G749" s="114"/>
    </row>
    <row r="750">
      <c r="B750" s="87"/>
      <c r="C750" s="88"/>
      <c r="D750" s="88"/>
      <c r="E750" s="88"/>
      <c r="F750" s="88"/>
      <c r="G750" s="114"/>
    </row>
    <row r="751">
      <c r="B751" s="87"/>
      <c r="C751" s="88"/>
      <c r="D751" s="88"/>
      <c r="E751" s="88"/>
      <c r="F751" s="88"/>
      <c r="G751" s="114"/>
    </row>
    <row r="752">
      <c r="B752" s="87"/>
      <c r="C752" s="88"/>
      <c r="D752" s="88"/>
      <c r="E752" s="88"/>
      <c r="F752" s="88"/>
      <c r="G752" s="114"/>
    </row>
    <row r="753">
      <c r="B753" s="87"/>
      <c r="C753" s="88"/>
      <c r="D753" s="88"/>
      <c r="E753" s="88"/>
      <c r="F753" s="88"/>
      <c r="G753" s="114"/>
    </row>
    <row r="754">
      <c r="B754" s="87"/>
      <c r="C754" s="88"/>
      <c r="D754" s="88"/>
      <c r="E754" s="88"/>
      <c r="F754" s="88"/>
      <c r="G754" s="114"/>
    </row>
    <row r="755">
      <c r="B755" s="87"/>
      <c r="C755" s="88"/>
      <c r="D755" s="88"/>
      <c r="E755" s="88"/>
      <c r="F755" s="88"/>
      <c r="G755" s="114"/>
    </row>
    <row r="756">
      <c r="B756" s="87"/>
      <c r="C756" s="88"/>
      <c r="D756" s="88"/>
      <c r="E756" s="88"/>
      <c r="F756" s="88"/>
      <c r="G756" s="114"/>
    </row>
    <row r="757">
      <c r="B757" s="87"/>
      <c r="C757" s="88"/>
      <c r="D757" s="88"/>
      <c r="E757" s="88"/>
      <c r="F757" s="88"/>
      <c r="G757" s="114"/>
    </row>
    <row r="758">
      <c r="B758" s="87"/>
      <c r="C758" s="88"/>
      <c r="D758" s="88"/>
      <c r="E758" s="88"/>
      <c r="F758" s="88"/>
      <c r="G758" s="114"/>
    </row>
    <row r="759">
      <c r="B759" s="87"/>
      <c r="C759" s="88"/>
      <c r="D759" s="88"/>
      <c r="E759" s="88"/>
      <c r="F759" s="88"/>
      <c r="G759" s="114"/>
    </row>
    <row r="760">
      <c r="B760" s="87"/>
      <c r="C760" s="88"/>
      <c r="D760" s="88"/>
      <c r="E760" s="88"/>
      <c r="F760" s="88"/>
      <c r="G760" s="114"/>
    </row>
    <row r="761">
      <c r="B761" s="87"/>
      <c r="C761" s="88"/>
      <c r="D761" s="88"/>
      <c r="E761" s="88"/>
      <c r="F761" s="88"/>
      <c r="G761" s="114"/>
    </row>
    <row r="762">
      <c r="B762" s="87"/>
      <c r="C762" s="88"/>
      <c r="D762" s="88"/>
      <c r="E762" s="88"/>
      <c r="F762" s="88"/>
      <c r="G762" s="114"/>
    </row>
    <row r="763">
      <c r="B763" s="87"/>
      <c r="C763" s="88"/>
      <c r="D763" s="88"/>
      <c r="E763" s="88"/>
      <c r="F763" s="88"/>
      <c r="G763" s="114"/>
    </row>
    <row r="764">
      <c r="B764" s="87"/>
      <c r="C764" s="88"/>
      <c r="D764" s="88"/>
      <c r="E764" s="88"/>
      <c r="F764" s="88"/>
      <c r="G764" s="114"/>
    </row>
    <row r="765">
      <c r="B765" s="87"/>
      <c r="C765" s="88"/>
      <c r="D765" s="88"/>
      <c r="E765" s="88"/>
      <c r="F765" s="88"/>
      <c r="G765" s="114"/>
    </row>
    <row r="766">
      <c r="B766" s="87"/>
      <c r="C766" s="88"/>
      <c r="D766" s="88"/>
      <c r="E766" s="88"/>
      <c r="F766" s="88"/>
      <c r="G766" s="114"/>
    </row>
    <row r="767">
      <c r="B767" s="87"/>
      <c r="C767" s="88"/>
      <c r="D767" s="88"/>
      <c r="E767" s="88"/>
      <c r="F767" s="88"/>
      <c r="G767" s="114"/>
    </row>
    <row r="768">
      <c r="B768" s="87"/>
      <c r="C768" s="88"/>
      <c r="D768" s="88"/>
      <c r="E768" s="88"/>
      <c r="F768" s="88"/>
      <c r="G768" s="114"/>
    </row>
    <row r="769">
      <c r="B769" s="87"/>
      <c r="C769" s="88"/>
      <c r="D769" s="88"/>
      <c r="E769" s="88"/>
      <c r="F769" s="88"/>
      <c r="G769" s="114"/>
    </row>
    <row r="770">
      <c r="B770" s="87"/>
      <c r="C770" s="88"/>
      <c r="D770" s="88"/>
      <c r="E770" s="88"/>
      <c r="F770" s="88"/>
      <c r="G770" s="114"/>
    </row>
    <row r="771">
      <c r="B771" s="87"/>
      <c r="C771" s="88"/>
      <c r="D771" s="88"/>
      <c r="E771" s="88"/>
      <c r="F771" s="88"/>
      <c r="G771" s="114"/>
    </row>
    <row r="772">
      <c r="B772" s="87"/>
      <c r="C772" s="88"/>
      <c r="D772" s="88"/>
      <c r="E772" s="88"/>
      <c r="F772" s="88"/>
      <c r="G772" s="114"/>
    </row>
    <row r="773">
      <c r="B773" s="87"/>
      <c r="C773" s="88"/>
      <c r="D773" s="88"/>
      <c r="E773" s="88"/>
      <c r="F773" s="88"/>
      <c r="G773" s="114"/>
    </row>
    <row r="774">
      <c r="B774" s="87"/>
      <c r="C774" s="88"/>
      <c r="D774" s="88"/>
      <c r="E774" s="88"/>
      <c r="F774" s="88"/>
      <c r="G774" s="114"/>
    </row>
    <row r="775">
      <c r="B775" s="87"/>
      <c r="C775" s="88"/>
      <c r="D775" s="88"/>
      <c r="E775" s="88"/>
      <c r="F775" s="88"/>
      <c r="G775" s="114"/>
    </row>
    <row r="776">
      <c r="B776" s="87"/>
      <c r="C776" s="88"/>
      <c r="D776" s="88"/>
      <c r="E776" s="88"/>
      <c r="F776" s="88"/>
      <c r="G776" s="114"/>
    </row>
    <row r="777">
      <c r="B777" s="87"/>
      <c r="C777" s="88"/>
      <c r="D777" s="88"/>
      <c r="E777" s="88"/>
      <c r="F777" s="88"/>
      <c r="G777" s="114"/>
    </row>
    <row r="778">
      <c r="B778" s="87"/>
      <c r="C778" s="88"/>
      <c r="D778" s="88"/>
      <c r="E778" s="88"/>
      <c r="F778" s="88"/>
      <c r="G778" s="114"/>
    </row>
    <row r="779">
      <c r="B779" s="87"/>
      <c r="C779" s="88"/>
      <c r="D779" s="88"/>
      <c r="E779" s="88"/>
      <c r="F779" s="88"/>
      <c r="G779" s="114"/>
    </row>
    <row r="780">
      <c r="B780" s="87"/>
      <c r="C780" s="88"/>
      <c r="D780" s="88"/>
      <c r="E780" s="88"/>
      <c r="F780" s="88"/>
      <c r="G780" s="114"/>
    </row>
    <row r="781">
      <c r="B781" s="87"/>
      <c r="C781" s="88"/>
      <c r="D781" s="88"/>
      <c r="E781" s="88"/>
      <c r="F781" s="88"/>
      <c r="G781" s="114"/>
    </row>
    <row r="782">
      <c r="B782" s="87"/>
      <c r="C782" s="88"/>
      <c r="D782" s="88"/>
      <c r="E782" s="88"/>
      <c r="F782" s="88"/>
      <c r="G782" s="114"/>
    </row>
    <row r="783">
      <c r="B783" s="87"/>
      <c r="C783" s="88"/>
      <c r="D783" s="88"/>
      <c r="E783" s="88"/>
      <c r="F783" s="88"/>
      <c r="G783" s="114"/>
    </row>
    <row r="784">
      <c r="B784" s="87"/>
      <c r="C784" s="88"/>
      <c r="D784" s="88"/>
      <c r="E784" s="88"/>
      <c r="F784" s="88"/>
      <c r="G784" s="114"/>
    </row>
    <row r="785">
      <c r="B785" s="87"/>
      <c r="C785" s="88"/>
      <c r="D785" s="88"/>
      <c r="E785" s="88"/>
      <c r="F785" s="88"/>
      <c r="G785" s="114"/>
    </row>
    <row r="786">
      <c r="B786" s="87"/>
      <c r="C786" s="88"/>
      <c r="D786" s="88"/>
      <c r="E786" s="88"/>
      <c r="F786" s="88"/>
      <c r="G786" s="114"/>
    </row>
    <row r="787">
      <c r="B787" s="87"/>
      <c r="C787" s="88"/>
      <c r="D787" s="88"/>
      <c r="E787" s="88"/>
      <c r="F787" s="88"/>
      <c r="G787" s="114"/>
    </row>
    <row r="788">
      <c r="B788" s="87"/>
      <c r="C788" s="88"/>
      <c r="D788" s="88"/>
      <c r="E788" s="88"/>
      <c r="F788" s="88"/>
      <c r="G788" s="114"/>
    </row>
    <row r="789">
      <c r="B789" s="87"/>
      <c r="C789" s="88"/>
      <c r="D789" s="88"/>
      <c r="E789" s="88"/>
      <c r="F789" s="88"/>
      <c r="G789" s="114"/>
    </row>
    <row r="790">
      <c r="B790" s="87"/>
      <c r="C790" s="88"/>
      <c r="D790" s="88"/>
      <c r="E790" s="88"/>
      <c r="F790" s="88"/>
      <c r="G790" s="114"/>
    </row>
    <row r="791">
      <c r="B791" s="87"/>
      <c r="C791" s="88"/>
      <c r="D791" s="88"/>
      <c r="E791" s="88"/>
      <c r="F791" s="88"/>
      <c r="G791" s="114"/>
    </row>
    <row r="792">
      <c r="B792" s="87"/>
      <c r="C792" s="88"/>
      <c r="D792" s="88"/>
      <c r="E792" s="88"/>
      <c r="F792" s="88"/>
      <c r="G792" s="114"/>
    </row>
    <row r="793">
      <c r="B793" s="87"/>
      <c r="C793" s="88"/>
      <c r="D793" s="88"/>
      <c r="E793" s="88"/>
      <c r="F793" s="88"/>
      <c r="G793" s="114"/>
    </row>
    <row r="794">
      <c r="B794" s="87"/>
      <c r="C794" s="88"/>
      <c r="D794" s="88"/>
      <c r="E794" s="88"/>
      <c r="F794" s="88"/>
      <c r="G794" s="114"/>
    </row>
    <row r="795">
      <c r="B795" s="87"/>
      <c r="C795" s="88"/>
      <c r="D795" s="88"/>
      <c r="E795" s="88"/>
      <c r="F795" s="88"/>
      <c r="G795" s="114"/>
    </row>
    <row r="796">
      <c r="B796" s="87"/>
      <c r="C796" s="88"/>
      <c r="D796" s="88"/>
      <c r="E796" s="88"/>
      <c r="F796" s="88"/>
      <c r="G796" s="114"/>
    </row>
    <row r="797">
      <c r="B797" s="87"/>
      <c r="C797" s="88"/>
      <c r="D797" s="88"/>
      <c r="E797" s="88"/>
      <c r="F797" s="88"/>
      <c r="G797" s="114"/>
    </row>
    <row r="798">
      <c r="B798" s="87"/>
      <c r="C798" s="88"/>
      <c r="D798" s="88"/>
      <c r="E798" s="88"/>
      <c r="F798" s="88"/>
      <c r="G798" s="114"/>
    </row>
    <row r="799">
      <c r="B799" s="87"/>
      <c r="C799" s="88"/>
      <c r="D799" s="88"/>
      <c r="E799" s="88"/>
      <c r="F799" s="88"/>
      <c r="G799" s="114"/>
    </row>
    <row r="800">
      <c r="B800" s="87"/>
      <c r="C800" s="88"/>
      <c r="D800" s="88"/>
      <c r="E800" s="88"/>
      <c r="F800" s="88"/>
      <c r="G800" s="114"/>
    </row>
    <row r="801">
      <c r="B801" s="87"/>
      <c r="C801" s="88"/>
      <c r="D801" s="88"/>
      <c r="E801" s="88"/>
      <c r="F801" s="88"/>
      <c r="G801" s="114"/>
    </row>
    <row r="802">
      <c r="B802" s="87"/>
      <c r="C802" s="88"/>
      <c r="D802" s="88"/>
      <c r="E802" s="88"/>
      <c r="F802" s="88"/>
      <c r="G802" s="114"/>
    </row>
    <row r="803">
      <c r="B803" s="87"/>
      <c r="C803" s="88"/>
      <c r="D803" s="88"/>
      <c r="E803" s="88"/>
      <c r="F803" s="88"/>
      <c r="G803" s="114"/>
    </row>
    <row r="804">
      <c r="B804" s="87"/>
      <c r="C804" s="88"/>
      <c r="D804" s="88"/>
      <c r="E804" s="88"/>
      <c r="F804" s="88"/>
      <c r="G804" s="114"/>
    </row>
    <row r="805">
      <c r="B805" s="87"/>
      <c r="C805" s="88"/>
      <c r="D805" s="88"/>
      <c r="E805" s="88"/>
      <c r="F805" s="88"/>
      <c r="G805" s="114"/>
    </row>
    <row r="806">
      <c r="B806" s="87"/>
      <c r="C806" s="88"/>
      <c r="D806" s="88"/>
      <c r="E806" s="88"/>
      <c r="F806" s="88"/>
      <c r="G806" s="114"/>
    </row>
    <row r="807">
      <c r="B807" s="87"/>
      <c r="C807" s="88"/>
      <c r="D807" s="88"/>
      <c r="E807" s="88"/>
      <c r="F807" s="88"/>
      <c r="G807" s="114"/>
    </row>
    <row r="808">
      <c r="B808" s="87"/>
      <c r="C808" s="88"/>
      <c r="D808" s="88"/>
      <c r="E808" s="88"/>
      <c r="F808" s="88"/>
      <c r="G808" s="114"/>
    </row>
    <row r="809">
      <c r="B809" s="87"/>
      <c r="C809" s="88"/>
      <c r="D809" s="88"/>
      <c r="E809" s="88"/>
      <c r="F809" s="88"/>
      <c r="G809" s="114"/>
    </row>
    <row r="810">
      <c r="B810" s="87"/>
      <c r="C810" s="88"/>
      <c r="D810" s="88"/>
      <c r="E810" s="88"/>
      <c r="F810" s="88"/>
      <c r="G810" s="114"/>
    </row>
    <row r="811">
      <c r="B811" s="87"/>
      <c r="C811" s="88"/>
      <c r="D811" s="88"/>
      <c r="E811" s="88"/>
      <c r="F811" s="88"/>
      <c r="G811" s="114"/>
    </row>
    <row r="812">
      <c r="B812" s="87"/>
      <c r="C812" s="88"/>
      <c r="D812" s="88"/>
      <c r="E812" s="88"/>
      <c r="F812" s="88"/>
      <c r="G812" s="114"/>
    </row>
    <row r="813">
      <c r="B813" s="87"/>
      <c r="C813" s="88"/>
      <c r="D813" s="88"/>
      <c r="E813" s="88"/>
      <c r="F813" s="88"/>
      <c r="G813" s="114"/>
    </row>
    <row r="814">
      <c r="B814" s="87"/>
      <c r="C814" s="88"/>
      <c r="D814" s="88"/>
      <c r="E814" s="88"/>
      <c r="F814" s="88"/>
      <c r="G814" s="114"/>
    </row>
    <row r="815">
      <c r="B815" s="87"/>
      <c r="C815" s="88"/>
      <c r="D815" s="88"/>
      <c r="E815" s="88"/>
      <c r="F815" s="88"/>
      <c r="G815" s="114"/>
    </row>
    <row r="816">
      <c r="B816" s="87"/>
      <c r="C816" s="88"/>
      <c r="D816" s="88"/>
      <c r="E816" s="88"/>
      <c r="F816" s="88"/>
      <c r="G816" s="114"/>
    </row>
    <row r="817">
      <c r="B817" s="87"/>
      <c r="C817" s="88"/>
      <c r="D817" s="88"/>
      <c r="E817" s="88"/>
      <c r="F817" s="88"/>
      <c r="G817" s="114"/>
    </row>
    <row r="818">
      <c r="B818" s="87"/>
      <c r="C818" s="88"/>
      <c r="D818" s="88"/>
      <c r="E818" s="88"/>
      <c r="F818" s="88"/>
      <c r="G818" s="114"/>
    </row>
    <row r="819">
      <c r="B819" s="87"/>
      <c r="C819" s="88"/>
      <c r="D819" s="88"/>
      <c r="E819" s="88"/>
      <c r="F819" s="88"/>
      <c r="G819" s="114"/>
    </row>
    <row r="820">
      <c r="B820" s="87"/>
      <c r="C820" s="88"/>
      <c r="D820" s="88"/>
      <c r="E820" s="88"/>
      <c r="F820" s="88"/>
      <c r="G820" s="114"/>
    </row>
    <row r="821">
      <c r="B821" s="87"/>
      <c r="C821" s="88"/>
      <c r="D821" s="88"/>
      <c r="E821" s="88"/>
      <c r="F821" s="88"/>
      <c r="G821" s="114"/>
    </row>
    <row r="822">
      <c r="B822" s="87"/>
      <c r="C822" s="88"/>
      <c r="D822" s="88"/>
      <c r="E822" s="88"/>
      <c r="F822" s="88"/>
      <c r="G822" s="114"/>
    </row>
    <row r="823">
      <c r="B823" s="87"/>
      <c r="C823" s="88"/>
      <c r="D823" s="88"/>
      <c r="E823" s="88"/>
      <c r="F823" s="88"/>
      <c r="G823" s="114"/>
    </row>
    <row r="824">
      <c r="B824" s="87"/>
      <c r="C824" s="88"/>
      <c r="D824" s="88"/>
      <c r="E824" s="88"/>
      <c r="F824" s="88"/>
      <c r="G824" s="114"/>
    </row>
    <row r="825">
      <c r="B825" s="87"/>
      <c r="C825" s="88"/>
      <c r="D825" s="88"/>
      <c r="E825" s="88"/>
      <c r="F825" s="88"/>
      <c r="G825" s="114"/>
    </row>
    <row r="826">
      <c r="B826" s="87"/>
      <c r="C826" s="88"/>
      <c r="D826" s="88"/>
      <c r="E826" s="88"/>
      <c r="F826" s="88"/>
      <c r="G826" s="114"/>
    </row>
    <row r="827">
      <c r="B827" s="87"/>
      <c r="C827" s="88"/>
      <c r="D827" s="88"/>
      <c r="E827" s="88"/>
      <c r="F827" s="88"/>
      <c r="G827" s="114"/>
    </row>
    <row r="828">
      <c r="B828" s="87"/>
      <c r="C828" s="88"/>
      <c r="D828" s="88"/>
      <c r="E828" s="88"/>
      <c r="F828" s="88"/>
      <c r="G828" s="114"/>
    </row>
    <row r="829">
      <c r="B829" s="87"/>
      <c r="C829" s="88"/>
      <c r="D829" s="88"/>
      <c r="E829" s="88"/>
      <c r="F829" s="88"/>
      <c r="G829" s="114"/>
    </row>
    <row r="830">
      <c r="B830" s="87"/>
      <c r="C830" s="88"/>
      <c r="D830" s="88"/>
      <c r="E830" s="88"/>
      <c r="F830" s="88"/>
      <c r="G830" s="114"/>
    </row>
    <row r="831">
      <c r="B831" s="87"/>
      <c r="C831" s="88"/>
      <c r="D831" s="88"/>
      <c r="E831" s="88"/>
      <c r="F831" s="88"/>
      <c r="G831" s="114"/>
    </row>
    <row r="832">
      <c r="B832" s="87"/>
      <c r="C832" s="88"/>
      <c r="D832" s="88"/>
      <c r="E832" s="88"/>
      <c r="F832" s="88"/>
      <c r="G832" s="114"/>
    </row>
    <row r="833">
      <c r="B833" s="87"/>
      <c r="C833" s="88"/>
      <c r="D833" s="88"/>
      <c r="E833" s="88"/>
      <c r="F833" s="88"/>
      <c r="G833" s="114"/>
    </row>
    <row r="834">
      <c r="B834" s="87"/>
      <c r="C834" s="88"/>
      <c r="D834" s="88"/>
      <c r="E834" s="88"/>
      <c r="F834" s="88"/>
      <c r="G834" s="114"/>
    </row>
    <row r="835">
      <c r="B835" s="87"/>
      <c r="C835" s="88"/>
      <c r="D835" s="88"/>
      <c r="E835" s="88"/>
      <c r="F835" s="88"/>
      <c r="G835" s="114"/>
    </row>
    <row r="836">
      <c r="B836" s="87"/>
      <c r="C836" s="88"/>
      <c r="D836" s="88"/>
      <c r="E836" s="88"/>
      <c r="F836" s="88"/>
      <c r="G836" s="114"/>
    </row>
    <row r="837">
      <c r="B837" s="87"/>
      <c r="C837" s="88"/>
      <c r="D837" s="88"/>
      <c r="E837" s="88"/>
      <c r="F837" s="88"/>
      <c r="G837" s="114"/>
    </row>
    <row r="838">
      <c r="B838" s="87"/>
      <c r="C838" s="88"/>
      <c r="D838" s="88"/>
      <c r="E838" s="88"/>
      <c r="F838" s="88"/>
      <c r="G838" s="114"/>
    </row>
    <row r="839">
      <c r="B839" s="87"/>
      <c r="C839" s="88"/>
      <c r="D839" s="88"/>
      <c r="E839" s="88"/>
      <c r="F839" s="88"/>
      <c r="G839" s="114"/>
    </row>
    <row r="840">
      <c r="B840" s="87"/>
      <c r="C840" s="88"/>
      <c r="D840" s="88"/>
      <c r="E840" s="88"/>
      <c r="F840" s="88"/>
      <c r="G840" s="114"/>
    </row>
    <row r="841">
      <c r="B841" s="87"/>
      <c r="C841" s="88"/>
      <c r="D841" s="88"/>
      <c r="E841" s="88"/>
      <c r="F841" s="88"/>
      <c r="G841" s="114"/>
    </row>
    <row r="842">
      <c r="B842" s="87"/>
      <c r="C842" s="88"/>
      <c r="D842" s="88"/>
      <c r="E842" s="88"/>
      <c r="F842" s="88"/>
      <c r="G842" s="114"/>
    </row>
    <row r="843">
      <c r="B843" s="87"/>
      <c r="C843" s="88"/>
      <c r="D843" s="88"/>
      <c r="E843" s="88"/>
      <c r="F843" s="88"/>
      <c r="G843" s="114"/>
    </row>
    <row r="844">
      <c r="B844" s="87"/>
      <c r="C844" s="88"/>
      <c r="D844" s="88"/>
      <c r="E844" s="88"/>
      <c r="F844" s="88"/>
      <c r="G844" s="114"/>
    </row>
    <row r="845">
      <c r="B845" s="87"/>
      <c r="C845" s="88"/>
      <c r="D845" s="88"/>
      <c r="E845" s="88"/>
      <c r="F845" s="88"/>
      <c r="G845" s="114"/>
    </row>
    <row r="846">
      <c r="B846" s="87"/>
      <c r="C846" s="88"/>
      <c r="D846" s="88"/>
      <c r="E846" s="88"/>
      <c r="F846" s="88"/>
      <c r="G846" s="114"/>
    </row>
    <row r="847">
      <c r="B847" s="87"/>
      <c r="C847" s="88"/>
      <c r="D847" s="88"/>
      <c r="E847" s="88"/>
      <c r="F847" s="88"/>
      <c r="G847" s="114"/>
    </row>
    <row r="848">
      <c r="B848" s="87"/>
      <c r="C848" s="88"/>
      <c r="D848" s="88"/>
      <c r="E848" s="88"/>
      <c r="F848" s="88"/>
      <c r="G848" s="114"/>
    </row>
    <row r="849">
      <c r="B849" s="87"/>
      <c r="C849" s="88"/>
      <c r="D849" s="88"/>
      <c r="E849" s="88"/>
      <c r="F849" s="88"/>
      <c r="G849" s="114"/>
    </row>
    <row r="850">
      <c r="B850" s="87"/>
      <c r="C850" s="88"/>
      <c r="D850" s="88"/>
      <c r="E850" s="88"/>
      <c r="F850" s="88"/>
      <c r="G850" s="114"/>
    </row>
    <row r="851">
      <c r="B851" s="87"/>
      <c r="C851" s="88"/>
      <c r="D851" s="88"/>
      <c r="E851" s="88"/>
      <c r="F851" s="88"/>
      <c r="G851" s="114"/>
    </row>
    <row r="852">
      <c r="B852" s="87"/>
      <c r="C852" s="88"/>
      <c r="D852" s="88"/>
      <c r="E852" s="88"/>
      <c r="F852" s="88"/>
      <c r="G852" s="114"/>
    </row>
    <row r="853">
      <c r="B853" s="87"/>
      <c r="C853" s="88"/>
      <c r="D853" s="88"/>
      <c r="E853" s="88"/>
      <c r="F853" s="88"/>
      <c r="G853" s="114"/>
    </row>
    <row r="854">
      <c r="B854" s="87"/>
      <c r="C854" s="88"/>
      <c r="D854" s="88"/>
      <c r="E854" s="88"/>
      <c r="F854" s="88"/>
      <c r="G854" s="114"/>
    </row>
    <row r="855">
      <c r="B855" s="87"/>
      <c r="C855" s="88"/>
      <c r="D855" s="88"/>
      <c r="E855" s="88"/>
      <c r="F855" s="88"/>
      <c r="G855" s="114"/>
    </row>
    <row r="856">
      <c r="B856" s="87"/>
      <c r="C856" s="88"/>
      <c r="D856" s="88"/>
      <c r="E856" s="88"/>
      <c r="F856" s="88"/>
      <c r="G856" s="114"/>
    </row>
    <row r="857">
      <c r="B857" s="87"/>
      <c r="C857" s="88"/>
      <c r="D857" s="88"/>
      <c r="E857" s="88"/>
      <c r="F857" s="88"/>
      <c r="G857" s="114"/>
    </row>
    <row r="858">
      <c r="B858" s="87"/>
      <c r="C858" s="88"/>
      <c r="D858" s="88"/>
      <c r="E858" s="88"/>
      <c r="F858" s="88"/>
      <c r="G858" s="114"/>
    </row>
    <row r="859">
      <c r="B859" s="87"/>
      <c r="C859" s="88"/>
      <c r="D859" s="88"/>
      <c r="E859" s="88"/>
      <c r="F859" s="88"/>
      <c r="G859" s="114"/>
    </row>
    <row r="860">
      <c r="B860" s="87"/>
      <c r="C860" s="88"/>
      <c r="D860" s="88"/>
      <c r="E860" s="88"/>
      <c r="F860" s="88"/>
      <c r="G860" s="114"/>
    </row>
    <row r="861">
      <c r="B861" s="87"/>
      <c r="C861" s="88"/>
      <c r="D861" s="88"/>
      <c r="E861" s="88"/>
      <c r="F861" s="88"/>
      <c r="G861" s="114"/>
    </row>
    <row r="862">
      <c r="B862" s="87"/>
      <c r="C862" s="88"/>
      <c r="D862" s="88"/>
      <c r="E862" s="88"/>
      <c r="F862" s="88"/>
      <c r="G862" s="114"/>
    </row>
    <row r="863">
      <c r="B863" s="87"/>
      <c r="C863" s="88"/>
      <c r="D863" s="88"/>
      <c r="E863" s="88"/>
      <c r="F863" s="88"/>
      <c r="G863" s="114"/>
    </row>
    <row r="864">
      <c r="B864" s="87"/>
      <c r="C864" s="88"/>
      <c r="D864" s="88"/>
      <c r="E864" s="88"/>
      <c r="F864" s="88"/>
      <c r="G864" s="114"/>
    </row>
    <row r="865">
      <c r="B865" s="87"/>
      <c r="C865" s="88"/>
      <c r="D865" s="88"/>
      <c r="E865" s="88"/>
      <c r="F865" s="88"/>
      <c r="G865" s="114"/>
    </row>
    <row r="866">
      <c r="B866" s="87"/>
      <c r="C866" s="88"/>
      <c r="D866" s="88"/>
      <c r="E866" s="88"/>
      <c r="F866" s="88"/>
      <c r="G866" s="114"/>
    </row>
    <row r="867">
      <c r="B867" s="87"/>
      <c r="C867" s="88"/>
      <c r="D867" s="88"/>
      <c r="E867" s="88"/>
      <c r="F867" s="88"/>
      <c r="G867" s="114"/>
    </row>
    <row r="868">
      <c r="B868" s="87"/>
      <c r="C868" s="88"/>
      <c r="D868" s="88"/>
      <c r="E868" s="88"/>
      <c r="F868" s="88"/>
      <c r="G868" s="114"/>
    </row>
    <row r="869">
      <c r="B869" s="87"/>
      <c r="C869" s="88"/>
      <c r="D869" s="88"/>
      <c r="E869" s="88"/>
      <c r="F869" s="88"/>
      <c r="G869" s="114"/>
    </row>
    <row r="870">
      <c r="B870" s="87"/>
      <c r="C870" s="88"/>
      <c r="D870" s="88"/>
      <c r="E870" s="88"/>
      <c r="F870" s="88"/>
      <c r="G870" s="114"/>
    </row>
    <row r="871">
      <c r="B871" s="87"/>
      <c r="C871" s="88"/>
      <c r="D871" s="88"/>
      <c r="E871" s="88"/>
      <c r="F871" s="88"/>
      <c r="G871" s="114"/>
    </row>
    <row r="872">
      <c r="B872" s="87"/>
      <c r="C872" s="88"/>
      <c r="D872" s="88"/>
      <c r="E872" s="88"/>
      <c r="F872" s="88"/>
      <c r="G872" s="114"/>
    </row>
    <row r="873">
      <c r="B873" s="87"/>
      <c r="C873" s="88"/>
      <c r="D873" s="88"/>
      <c r="E873" s="88"/>
      <c r="F873" s="88"/>
      <c r="G873" s="114"/>
    </row>
    <row r="874">
      <c r="B874" s="87"/>
      <c r="C874" s="88"/>
      <c r="D874" s="88"/>
      <c r="E874" s="88"/>
      <c r="F874" s="88"/>
      <c r="G874" s="114"/>
    </row>
    <row r="875">
      <c r="B875" s="87"/>
      <c r="C875" s="88"/>
      <c r="D875" s="88"/>
      <c r="E875" s="88"/>
      <c r="F875" s="88"/>
      <c r="G875" s="114"/>
    </row>
    <row r="876">
      <c r="B876" s="87"/>
      <c r="C876" s="88"/>
      <c r="D876" s="88"/>
      <c r="E876" s="88"/>
      <c r="F876" s="88"/>
      <c r="G876" s="114"/>
    </row>
    <row r="877">
      <c r="B877" s="87"/>
      <c r="C877" s="88"/>
      <c r="D877" s="88"/>
      <c r="E877" s="88"/>
      <c r="F877" s="88"/>
      <c r="G877" s="114"/>
    </row>
    <row r="878">
      <c r="B878" s="87"/>
      <c r="C878" s="88"/>
      <c r="D878" s="88"/>
      <c r="E878" s="88"/>
      <c r="F878" s="88"/>
      <c r="G878" s="114"/>
    </row>
    <row r="879">
      <c r="B879" s="87"/>
      <c r="C879" s="88"/>
      <c r="D879" s="88"/>
      <c r="E879" s="88"/>
      <c r="F879" s="88"/>
      <c r="G879" s="114"/>
    </row>
    <row r="880">
      <c r="B880" s="87"/>
      <c r="C880" s="88"/>
      <c r="D880" s="88"/>
      <c r="E880" s="88"/>
      <c r="F880" s="88"/>
      <c r="G880" s="114"/>
    </row>
    <row r="881">
      <c r="B881" s="87"/>
      <c r="C881" s="88"/>
      <c r="D881" s="88"/>
      <c r="E881" s="88"/>
      <c r="F881" s="88"/>
      <c r="G881" s="114"/>
    </row>
    <row r="882">
      <c r="B882" s="87"/>
      <c r="C882" s="88"/>
      <c r="D882" s="88"/>
      <c r="E882" s="88"/>
      <c r="F882" s="88"/>
      <c r="G882" s="114"/>
    </row>
    <row r="883">
      <c r="B883" s="87"/>
      <c r="C883" s="88"/>
      <c r="D883" s="88"/>
      <c r="E883" s="88"/>
      <c r="F883" s="88"/>
      <c r="G883" s="114"/>
    </row>
    <row r="884">
      <c r="B884" s="87"/>
      <c r="C884" s="88"/>
      <c r="D884" s="88"/>
      <c r="E884" s="88"/>
      <c r="F884" s="88"/>
      <c r="G884" s="114"/>
    </row>
    <row r="885">
      <c r="B885" s="87"/>
      <c r="C885" s="88"/>
      <c r="D885" s="88"/>
      <c r="E885" s="88"/>
      <c r="F885" s="88"/>
      <c r="G885" s="114"/>
    </row>
    <row r="886">
      <c r="B886" s="87"/>
      <c r="C886" s="88"/>
      <c r="D886" s="88"/>
      <c r="E886" s="88"/>
      <c r="F886" s="88"/>
      <c r="G886" s="114"/>
    </row>
    <row r="887">
      <c r="B887" s="87"/>
      <c r="C887" s="88"/>
      <c r="D887" s="88"/>
      <c r="E887" s="88"/>
      <c r="F887" s="88"/>
      <c r="G887" s="114"/>
    </row>
    <row r="888">
      <c r="B888" s="87"/>
      <c r="C888" s="88"/>
      <c r="D888" s="88"/>
      <c r="E888" s="88"/>
      <c r="F888" s="88"/>
      <c r="G888" s="114"/>
    </row>
    <row r="889">
      <c r="B889" s="87"/>
      <c r="C889" s="88"/>
      <c r="D889" s="88"/>
      <c r="E889" s="88"/>
      <c r="F889" s="88"/>
      <c r="G889" s="114"/>
    </row>
    <row r="890">
      <c r="B890" s="87"/>
      <c r="C890" s="88"/>
      <c r="D890" s="88"/>
      <c r="E890" s="88"/>
      <c r="F890" s="88"/>
      <c r="G890" s="114"/>
    </row>
    <row r="891">
      <c r="B891" s="87"/>
      <c r="C891" s="88"/>
      <c r="D891" s="88"/>
      <c r="E891" s="88"/>
      <c r="F891" s="88"/>
      <c r="G891" s="114"/>
    </row>
    <row r="892">
      <c r="B892" s="87"/>
      <c r="C892" s="88"/>
      <c r="D892" s="88"/>
      <c r="E892" s="88"/>
      <c r="F892" s="88"/>
      <c r="G892" s="114"/>
    </row>
    <row r="893">
      <c r="B893" s="87"/>
      <c r="C893" s="88"/>
      <c r="D893" s="88"/>
      <c r="E893" s="88"/>
      <c r="F893" s="88"/>
      <c r="G893" s="114"/>
    </row>
    <row r="894">
      <c r="B894" s="87"/>
      <c r="C894" s="88"/>
      <c r="D894" s="88"/>
      <c r="E894" s="88"/>
      <c r="F894" s="88"/>
      <c r="G894" s="114"/>
    </row>
    <row r="895">
      <c r="B895" s="87"/>
      <c r="C895" s="88"/>
      <c r="D895" s="88"/>
      <c r="E895" s="88"/>
      <c r="F895" s="88"/>
      <c r="G895" s="114"/>
    </row>
    <row r="896">
      <c r="B896" s="87"/>
      <c r="C896" s="88"/>
      <c r="D896" s="88"/>
      <c r="E896" s="88"/>
      <c r="F896" s="88"/>
      <c r="G896" s="114"/>
    </row>
    <row r="897">
      <c r="B897" s="87"/>
      <c r="C897" s="88"/>
      <c r="D897" s="88"/>
      <c r="E897" s="88"/>
      <c r="F897" s="88"/>
      <c r="G897" s="114"/>
    </row>
    <row r="898">
      <c r="B898" s="87"/>
      <c r="C898" s="88"/>
      <c r="D898" s="88"/>
      <c r="E898" s="88"/>
      <c r="F898" s="88"/>
      <c r="G898" s="114"/>
    </row>
    <row r="899">
      <c r="B899" s="87"/>
      <c r="C899" s="88"/>
      <c r="D899" s="88"/>
      <c r="E899" s="88"/>
      <c r="F899" s="88"/>
      <c r="G899" s="114"/>
    </row>
    <row r="900">
      <c r="B900" s="87"/>
      <c r="C900" s="88"/>
      <c r="D900" s="88"/>
      <c r="E900" s="88"/>
      <c r="F900" s="88"/>
      <c r="G900" s="114"/>
    </row>
    <row r="901">
      <c r="B901" s="87"/>
      <c r="C901" s="88"/>
      <c r="D901" s="88"/>
      <c r="E901" s="88"/>
      <c r="F901" s="88"/>
      <c r="G901" s="114"/>
    </row>
    <row r="902">
      <c r="B902" s="87"/>
      <c r="C902" s="88"/>
      <c r="D902" s="88"/>
      <c r="E902" s="88"/>
      <c r="F902" s="88"/>
      <c r="G902" s="114"/>
    </row>
    <row r="903">
      <c r="B903" s="87"/>
      <c r="C903" s="88"/>
      <c r="D903" s="88"/>
      <c r="E903" s="88"/>
      <c r="F903" s="88"/>
      <c r="G903" s="114"/>
    </row>
    <row r="904">
      <c r="B904" s="87"/>
      <c r="C904" s="88"/>
      <c r="D904" s="88"/>
      <c r="E904" s="88"/>
      <c r="F904" s="88"/>
      <c r="G904" s="114"/>
    </row>
    <row r="905">
      <c r="B905" s="87"/>
      <c r="C905" s="88"/>
      <c r="D905" s="88"/>
      <c r="E905" s="88"/>
      <c r="F905" s="88"/>
      <c r="G905" s="114"/>
    </row>
    <row r="906">
      <c r="B906" s="87"/>
      <c r="C906" s="88"/>
      <c r="D906" s="88"/>
      <c r="E906" s="88"/>
      <c r="F906" s="88"/>
      <c r="G906" s="114"/>
    </row>
    <row r="907">
      <c r="B907" s="87"/>
      <c r="C907" s="88"/>
      <c r="D907" s="88"/>
      <c r="E907" s="88"/>
      <c r="F907" s="88"/>
      <c r="G907" s="114"/>
    </row>
    <row r="908">
      <c r="B908" s="87"/>
      <c r="C908" s="88"/>
      <c r="D908" s="88"/>
      <c r="E908" s="88"/>
      <c r="F908" s="88"/>
      <c r="G908" s="114"/>
    </row>
    <row r="909">
      <c r="B909" s="87"/>
      <c r="C909" s="88"/>
      <c r="D909" s="88"/>
      <c r="E909" s="88"/>
      <c r="F909" s="88"/>
      <c r="G909" s="114"/>
    </row>
    <row r="910">
      <c r="B910" s="87"/>
      <c r="C910" s="88"/>
      <c r="D910" s="88"/>
      <c r="E910" s="88"/>
      <c r="F910" s="88"/>
      <c r="G910" s="114"/>
    </row>
    <row r="911">
      <c r="B911" s="87"/>
      <c r="C911" s="88"/>
      <c r="D911" s="88"/>
      <c r="E911" s="88"/>
      <c r="F911" s="88"/>
      <c r="G911" s="114"/>
    </row>
    <row r="912">
      <c r="B912" s="87"/>
      <c r="C912" s="88"/>
      <c r="D912" s="88"/>
      <c r="E912" s="88"/>
      <c r="F912" s="88"/>
      <c r="G912" s="114"/>
    </row>
    <row r="913">
      <c r="B913" s="87"/>
      <c r="C913" s="88"/>
      <c r="D913" s="88"/>
      <c r="E913" s="88"/>
      <c r="F913" s="88"/>
      <c r="G913" s="114"/>
    </row>
    <row r="914">
      <c r="B914" s="87"/>
      <c r="C914" s="88"/>
      <c r="D914" s="88"/>
      <c r="E914" s="88"/>
      <c r="F914" s="88"/>
      <c r="G914" s="114"/>
    </row>
    <row r="915">
      <c r="B915" s="87"/>
      <c r="C915" s="88"/>
      <c r="D915" s="88"/>
      <c r="E915" s="88"/>
      <c r="F915" s="88"/>
      <c r="G915" s="114"/>
    </row>
    <row r="916">
      <c r="B916" s="87"/>
      <c r="C916" s="88"/>
      <c r="D916" s="88"/>
      <c r="E916" s="88"/>
      <c r="F916" s="88"/>
      <c r="G916" s="114"/>
    </row>
    <row r="917">
      <c r="B917" s="87"/>
      <c r="C917" s="88"/>
      <c r="D917" s="88"/>
      <c r="E917" s="88"/>
      <c r="F917" s="88"/>
      <c r="G917" s="114"/>
    </row>
    <row r="918">
      <c r="B918" s="87"/>
      <c r="C918" s="88"/>
      <c r="D918" s="88"/>
      <c r="E918" s="88"/>
      <c r="F918" s="88"/>
      <c r="G918" s="114"/>
    </row>
    <row r="919">
      <c r="B919" s="87"/>
      <c r="C919" s="88"/>
      <c r="D919" s="88"/>
      <c r="E919" s="88"/>
      <c r="F919" s="88"/>
      <c r="G919" s="114"/>
    </row>
    <row r="920">
      <c r="B920" s="87"/>
      <c r="C920" s="88"/>
      <c r="D920" s="88"/>
      <c r="E920" s="88"/>
      <c r="F920" s="88"/>
      <c r="G920" s="114"/>
    </row>
    <row r="921">
      <c r="B921" s="87"/>
      <c r="C921" s="88"/>
      <c r="D921" s="88"/>
      <c r="E921" s="88"/>
      <c r="F921" s="88"/>
      <c r="G921" s="114"/>
    </row>
    <row r="922">
      <c r="B922" s="87"/>
      <c r="C922" s="88"/>
      <c r="D922" s="88"/>
      <c r="E922" s="88"/>
      <c r="F922" s="88"/>
      <c r="G922" s="114"/>
    </row>
    <row r="923">
      <c r="B923" s="87"/>
      <c r="C923" s="88"/>
      <c r="D923" s="88"/>
      <c r="E923" s="88"/>
      <c r="F923" s="88"/>
      <c r="G923" s="114"/>
    </row>
    <row r="924">
      <c r="B924" s="87"/>
      <c r="C924" s="88"/>
      <c r="D924" s="88"/>
      <c r="E924" s="88"/>
      <c r="F924" s="88"/>
      <c r="G924" s="114"/>
    </row>
    <row r="925">
      <c r="B925" s="87"/>
      <c r="C925" s="88"/>
      <c r="D925" s="88"/>
      <c r="E925" s="88"/>
      <c r="F925" s="88"/>
      <c r="G925" s="114"/>
    </row>
    <row r="926">
      <c r="B926" s="87"/>
      <c r="C926" s="88"/>
      <c r="D926" s="88"/>
      <c r="E926" s="88"/>
      <c r="F926" s="88"/>
      <c r="G926" s="114"/>
    </row>
    <row r="927">
      <c r="B927" s="87"/>
      <c r="C927" s="88"/>
      <c r="D927" s="88"/>
      <c r="E927" s="88"/>
      <c r="F927" s="88"/>
      <c r="G927" s="114"/>
    </row>
    <row r="928">
      <c r="B928" s="87"/>
      <c r="C928" s="88"/>
      <c r="D928" s="88"/>
      <c r="E928" s="88"/>
      <c r="F928" s="88"/>
      <c r="G928" s="114"/>
    </row>
    <row r="929">
      <c r="B929" s="87"/>
      <c r="C929" s="88"/>
      <c r="D929" s="88"/>
      <c r="E929" s="88"/>
      <c r="F929" s="88"/>
      <c r="G929" s="114"/>
    </row>
    <row r="930">
      <c r="B930" s="87"/>
      <c r="C930" s="88"/>
      <c r="D930" s="88"/>
      <c r="E930" s="88"/>
      <c r="F930" s="88"/>
      <c r="G930" s="114"/>
    </row>
    <row r="931">
      <c r="B931" s="87"/>
      <c r="C931" s="88"/>
      <c r="D931" s="88"/>
      <c r="E931" s="88"/>
      <c r="F931" s="88"/>
      <c r="G931" s="114"/>
    </row>
    <row r="932">
      <c r="B932" s="87"/>
      <c r="C932" s="88"/>
      <c r="D932" s="88"/>
      <c r="E932" s="88"/>
      <c r="F932" s="88"/>
      <c r="G932" s="114"/>
    </row>
    <row r="933">
      <c r="B933" s="87"/>
      <c r="C933" s="88"/>
      <c r="D933" s="88"/>
      <c r="E933" s="88"/>
      <c r="F933" s="88"/>
      <c r="G933" s="114"/>
    </row>
    <row r="934">
      <c r="B934" s="87"/>
      <c r="C934" s="88"/>
      <c r="D934" s="88"/>
      <c r="E934" s="88"/>
      <c r="F934" s="88"/>
      <c r="G934" s="114"/>
    </row>
    <row r="935">
      <c r="B935" s="87"/>
      <c r="C935" s="88"/>
      <c r="D935" s="88"/>
      <c r="E935" s="88"/>
      <c r="F935" s="88"/>
      <c r="G935" s="114"/>
    </row>
    <row r="936">
      <c r="B936" s="87"/>
      <c r="C936" s="88"/>
      <c r="D936" s="88"/>
      <c r="E936" s="88"/>
      <c r="F936" s="88"/>
      <c r="G936" s="114"/>
    </row>
    <row r="937">
      <c r="B937" s="87"/>
      <c r="C937" s="88"/>
      <c r="D937" s="88"/>
      <c r="E937" s="88"/>
      <c r="F937" s="88"/>
      <c r="G937" s="114"/>
    </row>
    <row r="938">
      <c r="B938" s="87"/>
      <c r="C938" s="88"/>
      <c r="D938" s="88"/>
      <c r="E938" s="88"/>
      <c r="F938" s="88"/>
      <c r="G938" s="114"/>
    </row>
    <row r="939">
      <c r="B939" s="87"/>
      <c r="C939" s="88"/>
      <c r="D939" s="88"/>
      <c r="E939" s="88"/>
      <c r="F939" s="88"/>
      <c r="G939" s="114"/>
    </row>
    <row r="940">
      <c r="B940" s="87"/>
      <c r="C940" s="88"/>
      <c r="D940" s="88"/>
      <c r="E940" s="88"/>
      <c r="F940" s="88"/>
      <c r="G940" s="114"/>
    </row>
    <row r="941">
      <c r="B941" s="87"/>
      <c r="C941" s="88"/>
      <c r="D941" s="88"/>
      <c r="E941" s="88"/>
      <c r="F941" s="88"/>
      <c r="G941" s="114"/>
    </row>
    <row r="942">
      <c r="B942" s="87"/>
      <c r="C942" s="88"/>
      <c r="D942" s="88"/>
      <c r="E942" s="88"/>
      <c r="F942" s="88"/>
      <c r="G942" s="114"/>
    </row>
    <row r="943">
      <c r="B943" s="87"/>
      <c r="C943" s="88"/>
      <c r="D943" s="88"/>
      <c r="E943" s="88"/>
      <c r="F943" s="88"/>
      <c r="G943" s="114"/>
    </row>
    <row r="944">
      <c r="B944" s="87"/>
      <c r="C944" s="88"/>
      <c r="D944" s="88"/>
      <c r="E944" s="88"/>
      <c r="F944" s="88"/>
      <c r="G944" s="114"/>
    </row>
    <row r="945">
      <c r="B945" s="87"/>
      <c r="C945" s="88"/>
      <c r="D945" s="88"/>
      <c r="E945" s="88"/>
      <c r="F945" s="88"/>
      <c r="G945" s="114"/>
    </row>
    <row r="946">
      <c r="B946" s="87"/>
      <c r="C946" s="88"/>
      <c r="D946" s="88"/>
      <c r="E946" s="88"/>
      <c r="F946" s="88"/>
      <c r="G946" s="114"/>
    </row>
    <row r="947">
      <c r="B947" s="87"/>
      <c r="C947" s="88"/>
      <c r="D947" s="88"/>
      <c r="E947" s="88"/>
      <c r="F947" s="88"/>
      <c r="G947" s="114"/>
    </row>
    <row r="948">
      <c r="B948" s="87"/>
      <c r="C948" s="88"/>
      <c r="D948" s="88"/>
      <c r="E948" s="88"/>
      <c r="F948" s="88"/>
      <c r="G948" s="114"/>
    </row>
    <row r="949">
      <c r="B949" s="87"/>
      <c r="C949" s="88"/>
      <c r="D949" s="88"/>
      <c r="E949" s="88"/>
      <c r="F949" s="88"/>
      <c r="G949" s="114"/>
    </row>
    <row r="950">
      <c r="B950" s="87"/>
      <c r="C950" s="88"/>
      <c r="D950" s="88"/>
      <c r="E950" s="88"/>
      <c r="F950" s="88"/>
      <c r="G950" s="114"/>
    </row>
    <row r="951">
      <c r="B951" s="87"/>
      <c r="C951" s="88"/>
      <c r="D951" s="88"/>
      <c r="E951" s="88"/>
      <c r="F951" s="88"/>
      <c r="G951" s="114"/>
    </row>
    <row r="952">
      <c r="B952" s="87"/>
      <c r="C952" s="88"/>
      <c r="D952" s="88"/>
      <c r="E952" s="88"/>
      <c r="F952" s="88"/>
      <c r="G952" s="114"/>
    </row>
    <row r="953">
      <c r="B953" s="87"/>
      <c r="C953" s="88"/>
      <c r="D953" s="88"/>
      <c r="E953" s="88"/>
      <c r="F953" s="88"/>
      <c r="G953" s="114"/>
    </row>
    <row r="954">
      <c r="B954" s="87"/>
      <c r="C954" s="88"/>
      <c r="D954" s="88"/>
      <c r="E954" s="88"/>
      <c r="F954" s="88"/>
      <c r="G954" s="114"/>
    </row>
    <row r="955">
      <c r="B955" s="87"/>
      <c r="C955" s="88"/>
      <c r="D955" s="88"/>
      <c r="E955" s="88"/>
      <c r="F955" s="88"/>
      <c r="G955" s="114"/>
    </row>
    <row r="956">
      <c r="B956" s="87"/>
      <c r="C956" s="88"/>
      <c r="D956" s="88"/>
      <c r="E956" s="88"/>
      <c r="F956" s="88"/>
      <c r="G956" s="114"/>
    </row>
    <row r="957">
      <c r="B957" s="87"/>
      <c r="C957" s="88"/>
      <c r="D957" s="88"/>
      <c r="E957" s="88"/>
      <c r="F957" s="88"/>
      <c r="G957" s="114"/>
    </row>
    <row r="958">
      <c r="B958" s="87"/>
      <c r="C958" s="88"/>
      <c r="D958" s="88"/>
      <c r="E958" s="88"/>
      <c r="F958" s="88"/>
      <c r="G958" s="114"/>
    </row>
    <row r="959">
      <c r="B959" s="87"/>
      <c r="C959" s="88"/>
      <c r="D959" s="88"/>
      <c r="E959" s="88"/>
      <c r="F959" s="88"/>
      <c r="G959" s="114"/>
    </row>
    <row r="960">
      <c r="B960" s="87"/>
      <c r="C960" s="88"/>
      <c r="D960" s="88"/>
      <c r="E960" s="88"/>
      <c r="F960" s="88"/>
      <c r="G960" s="114"/>
    </row>
    <row r="961">
      <c r="B961" s="87"/>
      <c r="C961" s="88"/>
      <c r="D961" s="88"/>
      <c r="E961" s="88"/>
      <c r="F961" s="88"/>
      <c r="G961" s="114"/>
    </row>
    <row r="962">
      <c r="B962" s="87"/>
      <c r="C962" s="88"/>
      <c r="D962" s="88"/>
      <c r="E962" s="88"/>
      <c r="F962" s="88"/>
      <c r="G962" s="114"/>
    </row>
    <row r="963">
      <c r="B963" s="87"/>
      <c r="C963" s="88"/>
      <c r="D963" s="88"/>
      <c r="E963" s="88"/>
      <c r="F963" s="88"/>
      <c r="G963" s="114"/>
    </row>
    <row r="964">
      <c r="B964" s="87"/>
      <c r="C964" s="88"/>
      <c r="D964" s="88"/>
      <c r="E964" s="88"/>
      <c r="F964" s="88"/>
      <c r="G964" s="114"/>
    </row>
    <row r="965">
      <c r="B965" s="87"/>
      <c r="C965" s="88"/>
      <c r="D965" s="88"/>
      <c r="E965" s="88"/>
      <c r="F965" s="88"/>
      <c r="G965" s="114"/>
    </row>
    <row r="966">
      <c r="B966" s="87"/>
      <c r="C966" s="88"/>
      <c r="D966" s="88"/>
      <c r="E966" s="88"/>
      <c r="F966" s="88"/>
      <c r="G966" s="114"/>
    </row>
    <row r="967">
      <c r="B967" s="87"/>
      <c r="C967" s="88"/>
      <c r="D967" s="88"/>
      <c r="E967" s="88"/>
      <c r="F967" s="88"/>
      <c r="G967" s="114"/>
    </row>
    <row r="968">
      <c r="B968" s="87"/>
      <c r="C968" s="88"/>
      <c r="D968" s="88"/>
      <c r="E968" s="88"/>
      <c r="F968" s="88"/>
      <c r="G968" s="114"/>
    </row>
    <row r="969">
      <c r="B969" s="87"/>
      <c r="C969" s="88"/>
      <c r="D969" s="88"/>
      <c r="E969" s="88"/>
      <c r="F969" s="88"/>
      <c r="G969" s="114"/>
    </row>
    <row r="970">
      <c r="B970" s="87"/>
      <c r="C970" s="88"/>
      <c r="D970" s="88"/>
      <c r="E970" s="88"/>
      <c r="F970" s="88"/>
      <c r="G970" s="114"/>
    </row>
    <row r="971">
      <c r="B971" s="87"/>
      <c r="C971" s="88"/>
      <c r="D971" s="88"/>
      <c r="E971" s="88"/>
      <c r="F971" s="88"/>
      <c r="G971" s="114"/>
    </row>
    <row r="972">
      <c r="B972" s="87"/>
      <c r="C972" s="88"/>
      <c r="D972" s="88"/>
      <c r="E972" s="88"/>
      <c r="F972" s="88"/>
      <c r="G972" s="114"/>
    </row>
    <row r="973">
      <c r="B973" s="87"/>
      <c r="C973" s="88"/>
      <c r="D973" s="88"/>
      <c r="E973" s="88"/>
      <c r="F973" s="88"/>
      <c r="G973" s="114"/>
    </row>
    <row r="974">
      <c r="B974" s="87"/>
      <c r="C974" s="88"/>
      <c r="D974" s="88"/>
      <c r="E974" s="88"/>
      <c r="F974" s="88"/>
      <c r="G974" s="114"/>
    </row>
    <row r="975">
      <c r="B975" s="87"/>
      <c r="C975" s="88"/>
      <c r="D975" s="88"/>
      <c r="E975" s="88"/>
      <c r="F975" s="88"/>
      <c r="G975" s="114"/>
    </row>
    <row r="976">
      <c r="B976" s="87"/>
      <c r="C976" s="88"/>
      <c r="D976" s="88"/>
      <c r="E976" s="88"/>
      <c r="F976" s="88"/>
      <c r="G976" s="114"/>
    </row>
    <row r="977">
      <c r="B977" s="87"/>
      <c r="C977" s="88"/>
      <c r="D977" s="88"/>
      <c r="E977" s="88"/>
      <c r="F977" s="88"/>
      <c r="G977" s="114"/>
    </row>
    <row r="978">
      <c r="B978" s="87"/>
      <c r="C978" s="88"/>
      <c r="D978" s="88"/>
      <c r="E978" s="88"/>
      <c r="F978" s="88"/>
      <c r="G978" s="114"/>
    </row>
    <row r="979">
      <c r="B979" s="87"/>
      <c r="C979" s="88"/>
      <c r="D979" s="88"/>
      <c r="E979" s="88"/>
      <c r="F979" s="88"/>
      <c r="G979" s="114"/>
    </row>
    <row r="980">
      <c r="B980" s="87"/>
      <c r="C980" s="88"/>
      <c r="D980" s="88"/>
      <c r="E980" s="88"/>
      <c r="F980" s="88"/>
      <c r="G980" s="114"/>
    </row>
    <row r="981">
      <c r="B981" s="87"/>
      <c r="C981" s="88"/>
      <c r="D981" s="88"/>
      <c r="E981" s="88"/>
      <c r="F981" s="88"/>
      <c r="G981" s="114"/>
    </row>
    <row r="982">
      <c r="B982" s="87"/>
      <c r="C982" s="88"/>
      <c r="D982" s="88"/>
      <c r="E982" s="88"/>
      <c r="F982" s="88"/>
      <c r="G982" s="114"/>
    </row>
    <row r="983">
      <c r="B983" s="87"/>
      <c r="C983" s="88"/>
      <c r="D983" s="88"/>
      <c r="E983" s="88"/>
      <c r="F983" s="88"/>
      <c r="G983" s="114"/>
    </row>
    <row r="984">
      <c r="B984" s="87"/>
      <c r="C984" s="88"/>
      <c r="D984" s="88"/>
      <c r="E984" s="88"/>
      <c r="F984" s="88"/>
      <c r="G984" s="114"/>
    </row>
    <row r="985">
      <c r="B985" s="87"/>
      <c r="C985" s="88"/>
      <c r="D985" s="88"/>
      <c r="E985" s="88"/>
      <c r="F985" s="88"/>
      <c r="G985" s="114"/>
    </row>
    <row r="986">
      <c r="B986" s="87"/>
      <c r="C986" s="88"/>
      <c r="D986" s="88"/>
      <c r="E986" s="88"/>
      <c r="F986" s="88"/>
      <c r="G986" s="114"/>
    </row>
    <row r="987">
      <c r="B987" s="87"/>
      <c r="C987" s="88"/>
      <c r="D987" s="88"/>
      <c r="E987" s="88"/>
      <c r="F987" s="88"/>
      <c r="G987" s="114"/>
    </row>
    <row r="988">
      <c r="B988" s="87"/>
      <c r="C988" s="88"/>
      <c r="D988" s="88"/>
      <c r="E988" s="88"/>
      <c r="F988" s="88"/>
      <c r="G988" s="114"/>
    </row>
    <row r="989">
      <c r="B989" s="87"/>
      <c r="C989" s="88"/>
      <c r="D989" s="88"/>
      <c r="E989" s="88"/>
      <c r="F989" s="88"/>
      <c r="G989" s="114"/>
    </row>
    <row r="990">
      <c r="B990" s="87"/>
      <c r="C990" s="88"/>
      <c r="D990" s="88"/>
      <c r="E990" s="88"/>
      <c r="F990" s="88"/>
      <c r="G990" s="114"/>
    </row>
    <row r="991">
      <c r="B991" s="87"/>
      <c r="C991" s="88"/>
      <c r="D991" s="88"/>
      <c r="E991" s="88"/>
      <c r="F991" s="88"/>
      <c r="G991" s="114"/>
    </row>
    <row r="992">
      <c r="B992" s="87"/>
      <c r="C992" s="88"/>
      <c r="D992" s="88"/>
      <c r="E992" s="88"/>
      <c r="F992" s="88"/>
      <c r="G992" s="114"/>
    </row>
    <row r="993">
      <c r="B993" s="87"/>
      <c r="C993" s="88"/>
      <c r="D993" s="88"/>
      <c r="E993" s="88"/>
      <c r="F993" s="88"/>
      <c r="G993" s="114"/>
    </row>
    <row r="994">
      <c r="B994" s="87"/>
      <c r="C994" s="88"/>
      <c r="D994" s="88"/>
      <c r="E994" s="88"/>
      <c r="F994" s="88"/>
      <c r="G994" s="114"/>
    </row>
    <row r="995">
      <c r="B995" s="87"/>
      <c r="C995" s="88"/>
      <c r="D995" s="88"/>
      <c r="E995" s="88"/>
      <c r="F995" s="88"/>
      <c r="G995" s="114"/>
    </row>
    <row r="996">
      <c r="B996" s="87"/>
      <c r="C996" s="88"/>
      <c r="D996" s="88"/>
      <c r="E996" s="88"/>
      <c r="F996" s="88"/>
      <c r="G996" s="114"/>
    </row>
    <row r="997">
      <c r="B997" s="87"/>
      <c r="C997" s="88"/>
      <c r="D997" s="88"/>
      <c r="E997" s="88"/>
      <c r="F997" s="88"/>
      <c r="G997" s="114"/>
    </row>
    <row r="998">
      <c r="B998" s="87"/>
      <c r="C998" s="88"/>
      <c r="D998" s="88"/>
      <c r="E998" s="88"/>
      <c r="F998" s="88"/>
      <c r="G998" s="114"/>
    </row>
  </sheetData>
  <mergeCells count="9">
    <mergeCell ref="C17:E17"/>
    <mergeCell ref="F17:F19"/>
    <mergeCell ref="B3:G3"/>
    <mergeCell ref="B4:B6"/>
    <mergeCell ref="C4:E4"/>
    <mergeCell ref="F4:F6"/>
    <mergeCell ref="G4:G6"/>
    <mergeCell ref="B16:F16"/>
    <mergeCell ref="B17:B19"/>
  </mergeCells>
  <conditionalFormatting sqref="K9">
    <cfRule type="cellIs" dxfId="5" priority="1" operator="lessThan">
      <formula>700000</formula>
    </cfRule>
  </conditionalFormatting>
  <conditionalFormatting sqref="F13">
    <cfRule type="notContainsBlanks" dxfId="8" priority="2">
      <formula>LEN(TRIM(F13))&gt;0</formula>
    </cfRule>
  </conditionalFormatting>
  <conditionalFormatting sqref="F20:F24">
    <cfRule type="cellIs" dxfId="9" priority="3" operator="lessThan">
      <formula>"20%"</formula>
    </cfRule>
  </conditionalFormatting>
  <conditionalFormatting sqref="F25">
    <cfRule type="cellIs" dxfId="10" priority="4" operator="lessThan">
      <formula>"100%"</formula>
    </cfRule>
  </conditionalFormatting>
  <conditionalFormatting sqref="F7:F11">
    <cfRule type="cellIs" dxfId="11" priority="5" operator="greaterThanOrEqual">
      <formula>100000</formula>
    </cfRule>
  </conditionalFormatting>
  <conditionalFormatting sqref="F7:F11">
    <cfRule type="cellIs" dxfId="12" priority="6" operator="between">
      <formula>95000</formula>
      <formula>99000</formula>
    </cfRule>
  </conditionalFormatting>
  <conditionalFormatting sqref="F7:F11">
    <cfRule type="cellIs" dxfId="13" priority="7" operator="lessThanOrEqual">
      <formula>95000</formula>
    </cfRule>
  </conditionalFormatting>
  <conditionalFormatting sqref="F12">
    <cfRule type="cellIs" dxfId="11" priority="8" operator="greaterThanOrEqual">
      <formula>500000</formula>
    </cfRule>
  </conditionalFormatting>
  <conditionalFormatting sqref="F12">
    <cfRule type="cellIs" dxfId="13" priority="9" operator="lessThanOrEqual">
      <formula>499000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hidden="1" min="1" max="1" width="12.63"/>
    <col customWidth="1" min="2" max="2" width="12.63"/>
    <col customWidth="1" min="6" max="6" width="17.75"/>
    <col customWidth="1" min="7" max="7" width="48.88"/>
  </cols>
  <sheetData>
    <row r="1">
      <c r="B1" s="112" t="s">
        <v>156</v>
      </c>
      <c r="C1" s="88"/>
      <c r="D1" s="88"/>
      <c r="E1" s="88"/>
      <c r="F1" s="113"/>
      <c r="G1" s="114"/>
    </row>
    <row r="2">
      <c r="B2" s="87"/>
      <c r="C2" s="88"/>
      <c r="D2" s="88"/>
      <c r="E2" s="88"/>
      <c r="F2" s="113"/>
      <c r="G2" s="114"/>
    </row>
    <row r="3">
      <c r="B3" s="115" t="s">
        <v>157</v>
      </c>
      <c r="C3" s="57"/>
      <c r="D3" s="57"/>
      <c r="E3" s="57"/>
      <c r="F3" s="57"/>
      <c r="G3" s="58"/>
      <c r="I3" s="116"/>
    </row>
    <row r="4">
      <c r="B4" s="117" t="s">
        <v>24</v>
      </c>
      <c r="C4" s="118" t="s">
        <v>1</v>
      </c>
      <c r="D4" s="57"/>
      <c r="E4" s="58"/>
      <c r="F4" s="119" t="s">
        <v>158</v>
      </c>
      <c r="G4" s="120" t="s">
        <v>159</v>
      </c>
    </row>
    <row r="5">
      <c r="B5" s="121"/>
      <c r="C5" s="122" t="s">
        <v>160</v>
      </c>
      <c r="D5" s="122" t="s">
        <v>161</v>
      </c>
      <c r="E5" s="122" t="s">
        <v>162</v>
      </c>
      <c r="F5" s="121"/>
      <c r="G5" s="121"/>
    </row>
    <row r="6">
      <c r="B6" s="123"/>
      <c r="C6" s="122" t="s">
        <v>32</v>
      </c>
      <c r="D6" s="122" t="s">
        <v>163</v>
      </c>
      <c r="E6" s="122" t="s">
        <v>25</v>
      </c>
      <c r="F6" s="123"/>
      <c r="G6" s="123"/>
    </row>
    <row r="7">
      <c r="B7" s="124">
        <v>46181.0</v>
      </c>
      <c r="C7" s="101">
        <f>SUMIFS(LIBERACION!$V:$V,LIBERACION!$Y:$Y,$B7,LIBERACION!$B:$B,C$6)</f>
        <v>128600</v>
      </c>
      <c r="D7" s="101">
        <f>SUMIFS(LIBERACION!$V:$V,LIBERACION!$Y:$Y,$B7,LIBERACION!$B:$B,D$6)</f>
        <v>0</v>
      </c>
      <c r="E7" s="101">
        <f>SUMIFS(LIBERACION!$V:$V,LIBERACION!$Y:$Y,$B7,LIBERACION!$B:$B,E$6)</f>
        <v>52900</v>
      </c>
      <c r="F7" s="102">
        <f t="shared" ref="F7:F11" si="1">SUM(C7:E7)</f>
        <v>181500</v>
      </c>
      <c r="G7" s="125"/>
    </row>
    <row r="8">
      <c r="B8" s="124">
        <v>46182.0</v>
      </c>
      <c r="C8" s="101">
        <f>SUMIFS(LIBERACION!$V:$V,LIBERACION!$Y:$Y,$B8,LIBERACION!$B:$B,C$6)</f>
        <v>88450</v>
      </c>
      <c r="D8" s="101">
        <f>SUMIFS(LIBERACION!$V:$V,LIBERACION!$Y:$Y,$B8,LIBERACION!$B:$B,D$6)</f>
        <v>0</v>
      </c>
      <c r="E8" s="101">
        <f>SUMIFS(LIBERACION!$V:$V,LIBERACION!$Y:$Y,$B8,LIBERACION!$B:$B,E$6)</f>
        <v>65900</v>
      </c>
      <c r="F8" s="126">
        <f t="shared" si="1"/>
        <v>154350</v>
      </c>
      <c r="G8" s="125"/>
    </row>
    <row r="9">
      <c r="B9" s="124">
        <v>46183.0</v>
      </c>
      <c r="C9" s="101">
        <f>SUMIFS(LIBERACION!$V:$V,LIBERACION!$Y:$Y,$B9,LIBERACION!$B:$B,C$6)</f>
        <v>89650</v>
      </c>
      <c r="D9" s="101">
        <f>SUMIFS(LIBERACION!$V:$V,LIBERACION!$Y:$Y,$B9,LIBERACION!$B:$B,D$6)</f>
        <v>0</v>
      </c>
      <c r="E9" s="101">
        <f>SUMIFS(LIBERACION!$V:$V,LIBERACION!$Y:$Y,$B9,LIBERACION!$B:$B,E$6)</f>
        <v>78475</v>
      </c>
      <c r="F9" s="126">
        <f t="shared" si="1"/>
        <v>168125</v>
      </c>
      <c r="G9" s="125"/>
    </row>
    <row r="10">
      <c r="B10" s="124">
        <v>46184.0</v>
      </c>
      <c r="C10" s="101">
        <f>SUMIFS(LIBERACION!$V:$V,LIBERACION!$Y:$Y,$B10,LIBERACION!$B:$B,C$6)</f>
        <v>119975</v>
      </c>
      <c r="D10" s="101">
        <f>SUMIFS(LIBERACION!$V:$V,LIBERACION!$Y:$Y,$B10,LIBERACION!$B:$B,D$6)</f>
        <v>0</v>
      </c>
      <c r="E10" s="101">
        <f>SUMIFS(LIBERACION!$V:$V,LIBERACION!$Y:$Y,$B10,LIBERACION!$B:$B,E$6)</f>
        <v>114275</v>
      </c>
      <c r="F10" s="102">
        <f t="shared" si="1"/>
        <v>234250</v>
      </c>
      <c r="G10" s="125"/>
    </row>
    <row r="11">
      <c r="B11" s="124">
        <v>46185.0</v>
      </c>
      <c r="C11" s="101">
        <f>SUMIFS(LIBERACION!$V:$V,LIBERACION!$Y:$Y,$B11,LIBERACION!$B:$B,C$6)</f>
        <v>146625</v>
      </c>
      <c r="D11" s="101">
        <f>SUMIFS(LIBERACION!$V:$V,LIBERACION!$Y:$Y,$B11,LIBERACION!$B:$B,D$6)</f>
        <v>0</v>
      </c>
      <c r="E11" s="101">
        <f>SUMIFS(LIBERACION!$V:$V,LIBERACION!$Y:$Y,$B11,LIBERACION!$B:$B,E$6)</f>
        <v>101100</v>
      </c>
      <c r="F11" s="102">
        <f t="shared" si="1"/>
        <v>247725</v>
      </c>
      <c r="G11" s="125"/>
    </row>
    <row r="12">
      <c r="B12" s="87"/>
      <c r="C12" s="88"/>
      <c r="D12" s="88"/>
      <c r="E12" s="127" t="s">
        <v>166</v>
      </c>
      <c r="F12" s="101">
        <f> SUM( F7:F11 )</f>
        <v>985950</v>
      </c>
      <c r="G12" s="114"/>
    </row>
    <row r="13">
      <c r="B13" s="87"/>
      <c r="C13" s="88"/>
      <c r="D13" s="88"/>
      <c r="E13" s="88"/>
      <c r="F13" s="88"/>
      <c r="G13" s="114"/>
    </row>
    <row r="14">
      <c r="B14" s="87"/>
      <c r="C14" s="88"/>
      <c r="D14" s="88"/>
      <c r="E14" s="88"/>
      <c r="F14" s="88"/>
      <c r="G14" s="114"/>
    </row>
    <row r="15">
      <c r="B15" s="87"/>
      <c r="C15" s="88"/>
      <c r="D15" s="88"/>
      <c r="E15" s="88"/>
      <c r="F15" s="88"/>
      <c r="G15" s="128"/>
    </row>
    <row r="16">
      <c r="B16" s="115" t="s">
        <v>167</v>
      </c>
      <c r="C16" s="57"/>
      <c r="D16" s="57"/>
      <c r="E16" s="57"/>
      <c r="F16" s="58"/>
      <c r="G16" s="114"/>
    </row>
    <row r="17">
      <c r="B17" s="129" t="s">
        <v>24</v>
      </c>
      <c r="C17" s="130" t="s">
        <v>1</v>
      </c>
      <c r="D17" s="57"/>
      <c r="E17" s="58"/>
      <c r="F17" s="131" t="s">
        <v>168</v>
      </c>
      <c r="G17" s="114"/>
    </row>
    <row r="18">
      <c r="B18" s="121"/>
      <c r="C18" s="132" t="s">
        <v>160</v>
      </c>
      <c r="D18" s="132" t="s">
        <v>161</v>
      </c>
      <c r="E18" s="132" t="s">
        <v>162</v>
      </c>
      <c r="F18" s="121"/>
      <c r="G18" s="114"/>
    </row>
    <row r="19">
      <c r="B19" s="123"/>
      <c r="C19" s="132" t="s">
        <v>32</v>
      </c>
      <c r="D19" s="132" t="s">
        <v>163</v>
      </c>
      <c r="E19" s="132" t="s">
        <v>25</v>
      </c>
      <c r="F19" s="123"/>
      <c r="G19" s="114"/>
    </row>
    <row r="20">
      <c r="B20" s="124">
        <f t="shared" ref="B20:B24" si="3">B7</f>
        <v>46181</v>
      </c>
      <c r="C20" s="103">
        <f t="shared" ref="C20:E20" si="2">((C7*100)/500000)/100</f>
        <v>0.2572</v>
      </c>
      <c r="D20" s="103">
        <f t="shared" si="2"/>
        <v>0</v>
      </c>
      <c r="E20" s="103">
        <f t="shared" si="2"/>
        <v>0.1058</v>
      </c>
      <c r="F20" s="103">
        <f t="shared" ref="F20:F24" si="5">SUM(C20:E20)</f>
        <v>0.363</v>
      </c>
      <c r="G20" s="114"/>
    </row>
    <row r="21">
      <c r="B21" s="124">
        <f t="shared" si="3"/>
        <v>46182</v>
      </c>
      <c r="C21" s="103">
        <f t="shared" ref="C21:E21" si="4">((C8*100)/500000)/100</f>
        <v>0.1769</v>
      </c>
      <c r="D21" s="103">
        <f t="shared" si="4"/>
        <v>0</v>
      </c>
      <c r="E21" s="103">
        <f t="shared" si="4"/>
        <v>0.1318</v>
      </c>
      <c r="F21" s="103">
        <f t="shared" si="5"/>
        <v>0.3087</v>
      </c>
      <c r="G21" s="114"/>
    </row>
    <row r="22">
      <c r="B22" s="124">
        <f t="shared" si="3"/>
        <v>46183</v>
      </c>
      <c r="C22" s="103">
        <f t="shared" ref="C22:E22" si="6">((C9*100)/500000)/100</f>
        <v>0.1793</v>
      </c>
      <c r="D22" s="103">
        <f t="shared" si="6"/>
        <v>0</v>
      </c>
      <c r="E22" s="103">
        <f t="shared" si="6"/>
        <v>0.15695</v>
      </c>
      <c r="F22" s="103">
        <f t="shared" si="5"/>
        <v>0.33625</v>
      </c>
      <c r="G22" s="114"/>
    </row>
    <row r="23">
      <c r="B23" s="124">
        <f t="shared" si="3"/>
        <v>46184</v>
      </c>
      <c r="C23" s="103">
        <f t="shared" ref="C23:E23" si="7">((C10*100)/500000)/100</f>
        <v>0.23995</v>
      </c>
      <c r="D23" s="103">
        <f t="shared" si="7"/>
        <v>0</v>
      </c>
      <c r="E23" s="103">
        <f t="shared" si="7"/>
        <v>0.22855</v>
      </c>
      <c r="F23" s="103">
        <f t="shared" si="5"/>
        <v>0.4685</v>
      </c>
      <c r="G23" s="114"/>
    </row>
    <row r="24">
      <c r="B24" s="124">
        <f t="shared" si="3"/>
        <v>46185</v>
      </c>
      <c r="C24" s="103">
        <f t="shared" ref="C24:E24" si="8">((C11*100)/500000)/100</f>
        <v>0.29325</v>
      </c>
      <c r="D24" s="103">
        <f t="shared" si="8"/>
        <v>0</v>
      </c>
      <c r="E24" s="103">
        <f t="shared" si="8"/>
        <v>0.2022</v>
      </c>
      <c r="F24" s="103">
        <f t="shared" si="5"/>
        <v>0.49545</v>
      </c>
      <c r="G24" s="114"/>
    </row>
    <row r="25">
      <c r="B25" s="87"/>
      <c r="C25" s="88"/>
      <c r="D25" s="88"/>
      <c r="E25" s="127" t="s">
        <v>169</v>
      </c>
      <c r="F25" s="103">
        <f>SUM(F20:F24)</f>
        <v>1.9719</v>
      </c>
      <c r="G25" s="114"/>
    </row>
    <row r="26">
      <c r="B26" s="87"/>
      <c r="C26" s="88"/>
      <c r="D26" s="88"/>
      <c r="E26" s="88"/>
      <c r="F26" s="88"/>
      <c r="G26" s="114"/>
    </row>
    <row r="27">
      <c r="B27" s="87"/>
      <c r="C27" s="88"/>
      <c r="D27" s="88"/>
      <c r="E27" s="88"/>
      <c r="F27" s="88"/>
      <c r="G27" s="114"/>
    </row>
    <row r="28">
      <c r="B28" s="87"/>
      <c r="C28" s="88"/>
      <c r="D28" s="88"/>
      <c r="E28" s="88"/>
      <c r="F28" s="88"/>
      <c r="G28" s="114"/>
    </row>
    <row r="29">
      <c r="B29" s="87"/>
      <c r="C29" s="88"/>
      <c r="D29" s="88"/>
      <c r="E29" s="88"/>
      <c r="F29" s="88"/>
      <c r="G29" s="114"/>
    </row>
    <row r="30">
      <c r="B30" s="87"/>
      <c r="C30" s="88"/>
      <c r="D30" s="88"/>
      <c r="E30" s="88"/>
      <c r="F30" s="88"/>
      <c r="G30" s="114"/>
    </row>
    <row r="31">
      <c r="B31" s="87"/>
      <c r="C31" s="88"/>
      <c r="D31" s="88"/>
      <c r="E31" s="88"/>
      <c r="F31" s="88"/>
      <c r="G31" s="114"/>
    </row>
    <row r="32">
      <c r="B32" s="87"/>
      <c r="C32" s="88"/>
      <c r="D32" s="88"/>
      <c r="E32" s="88"/>
      <c r="F32" s="88"/>
      <c r="G32" s="114"/>
    </row>
    <row r="33">
      <c r="B33" s="87"/>
      <c r="C33" s="88"/>
      <c r="D33" s="88"/>
      <c r="E33" s="88"/>
      <c r="F33" s="88"/>
      <c r="G33" s="114"/>
    </row>
    <row r="34">
      <c r="B34" s="87"/>
      <c r="C34" s="88"/>
      <c r="D34" s="88"/>
      <c r="E34" s="88"/>
      <c r="F34" s="88"/>
      <c r="G34" s="114"/>
    </row>
    <row r="35">
      <c r="B35" s="87"/>
      <c r="C35" s="88"/>
      <c r="D35" s="88"/>
      <c r="E35" s="88"/>
      <c r="F35" s="88"/>
      <c r="G35" s="114"/>
    </row>
    <row r="36">
      <c r="B36" s="87"/>
      <c r="C36" s="88"/>
      <c r="D36" s="88"/>
      <c r="E36" s="88"/>
      <c r="F36" s="88"/>
      <c r="G36" s="114"/>
    </row>
    <row r="37">
      <c r="B37" s="87"/>
      <c r="C37" s="88"/>
      <c r="D37" s="88"/>
      <c r="E37" s="88"/>
      <c r="F37" s="88"/>
      <c r="G37" s="114"/>
    </row>
    <row r="38">
      <c r="B38" s="87"/>
      <c r="C38" s="88"/>
      <c r="D38" s="88"/>
      <c r="E38" s="88"/>
      <c r="F38" s="88"/>
      <c r="G38" s="114"/>
    </row>
    <row r="39">
      <c r="B39" s="87"/>
      <c r="C39" s="88"/>
      <c r="D39" s="88"/>
      <c r="E39" s="88"/>
      <c r="F39" s="88"/>
      <c r="G39" s="114"/>
    </row>
    <row r="40">
      <c r="B40" s="87"/>
      <c r="C40" s="88"/>
      <c r="D40" s="88"/>
      <c r="E40" s="88"/>
      <c r="F40" s="88"/>
      <c r="G40" s="114"/>
    </row>
    <row r="41">
      <c r="B41" s="87"/>
      <c r="C41" s="88"/>
      <c r="D41" s="88"/>
      <c r="E41" s="88"/>
      <c r="F41" s="88"/>
      <c r="G41" s="114"/>
    </row>
    <row r="42">
      <c r="B42" s="87"/>
      <c r="C42" s="88"/>
      <c r="D42" s="88"/>
      <c r="E42" s="88"/>
      <c r="F42" s="88"/>
      <c r="G42" s="114"/>
    </row>
    <row r="43">
      <c r="B43" s="87"/>
      <c r="C43" s="88"/>
      <c r="D43" s="88"/>
      <c r="E43" s="88"/>
      <c r="F43" s="88"/>
      <c r="G43" s="114"/>
    </row>
    <row r="44">
      <c r="B44" s="87"/>
      <c r="C44" s="88"/>
      <c r="D44" s="88"/>
      <c r="E44" s="88"/>
      <c r="F44" s="88"/>
      <c r="G44" s="114"/>
    </row>
    <row r="45">
      <c r="B45" s="87"/>
      <c r="C45" s="88"/>
      <c r="D45" s="88"/>
      <c r="E45" s="88"/>
      <c r="F45" s="88"/>
      <c r="G45" s="114"/>
    </row>
    <row r="46">
      <c r="B46" s="87"/>
      <c r="C46" s="88"/>
      <c r="D46" s="88"/>
      <c r="E46" s="88"/>
      <c r="F46" s="88"/>
      <c r="G46" s="114"/>
    </row>
    <row r="47">
      <c r="B47" s="87"/>
      <c r="C47" s="88"/>
      <c r="D47" s="88"/>
      <c r="E47" s="88"/>
      <c r="F47" s="88"/>
      <c r="G47" s="114"/>
    </row>
    <row r="48">
      <c r="B48" s="87"/>
      <c r="C48" s="88"/>
      <c r="D48" s="88"/>
      <c r="E48" s="88"/>
      <c r="F48" s="88"/>
      <c r="G48" s="114"/>
    </row>
    <row r="49">
      <c r="B49" s="87"/>
      <c r="C49" s="88"/>
      <c r="D49" s="88"/>
      <c r="E49" s="88"/>
      <c r="F49" s="88"/>
      <c r="G49" s="114"/>
    </row>
    <row r="50">
      <c r="B50" s="87"/>
      <c r="C50" s="88"/>
      <c r="D50" s="88"/>
      <c r="E50" s="88"/>
      <c r="F50" s="88"/>
      <c r="G50" s="114"/>
    </row>
    <row r="51">
      <c r="B51" s="87"/>
      <c r="C51" s="88"/>
      <c r="D51" s="88"/>
      <c r="E51" s="88"/>
      <c r="F51" s="88"/>
      <c r="G51" s="114"/>
    </row>
    <row r="52">
      <c r="B52" s="87"/>
      <c r="C52" s="88"/>
      <c r="D52" s="88"/>
      <c r="E52" s="88"/>
      <c r="F52" s="88"/>
      <c r="G52" s="114"/>
    </row>
    <row r="53">
      <c r="B53" s="87"/>
      <c r="C53" s="88"/>
      <c r="D53" s="88"/>
      <c r="E53" s="88"/>
      <c r="F53" s="88"/>
      <c r="G53" s="114"/>
    </row>
    <row r="54">
      <c r="B54" s="87"/>
      <c r="C54" s="88"/>
      <c r="D54" s="88"/>
      <c r="E54" s="88"/>
      <c r="F54" s="88"/>
      <c r="G54" s="114"/>
    </row>
    <row r="55">
      <c r="B55" s="87"/>
      <c r="C55" s="88"/>
      <c r="D55" s="88"/>
      <c r="E55" s="88"/>
      <c r="F55" s="88"/>
      <c r="G55" s="114"/>
    </row>
    <row r="56">
      <c r="B56" s="87"/>
      <c r="C56" s="88"/>
      <c r="D56" s="88"/>
      <c r="E56" s="88"/>
      <c r="F56" s="88"/>
      <c r="G56" s="114"/>
    </row>
    <row r="57">
      <c r="B57" s="87"/>
      <c r="C57" s="88"/>
      <c r="D57" s="88"/>
      <c r="E57" s="88"/>
      <c r="F57" s="88"/>
      <c r="G57" s="114"/>
    </row>
    <row r="58">
      <c r="B58" s="87"/>
      <c r="C58" s="88"/>
      <c r="D58" s="88"/>
      <c r="E58" s="88"/>
      <c r="F58" s="88"/>
      <c r="G58" s="114"/>
    </row>
    <row r="59">
      <c r="B59" s="87"/>
      <c r="C59" s="88"/>
      <c r="D59" s="88"/>
      <c r="E59" s="88"/>
      <c r="F59" s="88"/>
      <c r="G59" s="114"/>
    </row>
    <row r="60">
      <c r="B60" s="87"/>
      <c r="C60" s="88"/>
      <c r="D60" s="88"/>
      <c r="E60" s="88"/>
      <c r="F60" s="88"/>
      <c r="G60" s="114"/>
    </row>
    <row r="61">
      <c r="B61" s="87"/>
      <c r="C61" s="88"/>
      <c r="D61" s="88"/>
      <c r="E61" s="88"/>
      <c r="F61" s="88"/>
      <c r="G61" s="114"/>
    </row>
    <row r="62">
      <c r="B62" s="87"/>
      <c r="C62" s="88"/>
      <c r="D62" s="88"/>
      <c r="E62" s="88"/>
      <c r="F62" s="88"/>
      <c r="G62" s="114"/>
    </row>
    <row r="63">
      <c r="B63" s="87"/>
      <c r="C63" s="88"/>
      <c r="D63" s="88"/>
      <c r="E63" s="88"/>
      <c r="F63" s="88"/>
      <c r="G63" s="114"/>
    </row>
    <row r="64">
      <c r="B64" s="87"/>
      <c r="C64" s="88"/>
      <c r="D64" s="88"/>
      <c r="E64" s="88"/>
      <c r="F64" s="88"/>
      <c r="G64" s="114"/>
    </row>
    <row r="65">
      <c r="B65" s="87"/>
      <c r="C65" s="88"/>
      <c r="D65" s="88"/>
      <c r="E65" s="88"/>
      <c r="F65" s="88"/>
      <c r="G65" s="114"/>
    </row>
    <row r="66">
      <c r="B66" s="87"/>
      <c r="C66" s="88"/>
      <c r="D66" s="88"/>
      <c r="E66" s="88"/>
      <c r="F66" s="88"/>
      <c r="G66" s="114"/>
    </row>
    <row r="67">
      <c r="B67" s="87"/>
      <c r="C67" s="88"/>
      <c r="D67" s="88"/>
      <c r="E67" s="88"/>
      <c r="F67" s="88"/>
      <c r="G67" s="114"/>
    </row>
    <row r="68">
      <c r="B68" s="87"/>
      <c r="C68" s="88"/>
      <c r="D68" s="88"/>
      <c r="E68" s="88"/>
      <c r="F68" s="88"/>
      <c r="G68" s="114"/>
    </row>
    <row r="69">
      <c r="B69" s="87"/>
      <c r="C69" s="88"/>
      <c r="D69" s="88"/>
      <c r="E69" s="88"/>
      <c r="F69" s="88"/>
      <c r="G69" s="114"/>
    </row>
    <row r="70">
      <c r="B70" s="87"/>
      <c r="C70" s="88"/>
      <c r="D70" s="88"/>
      <c r="E70" s="88"/>
      <c r="F70" s="88"/>
      <c r="G70" s="114"/>
    </row>
    <row r="71">
      <c r="B71" s="87"/>
      <c r="C71" s="88"/>
      <c r="D71" s="88"/>
      <c r="E71" s="88"/>
      <c r="F71" s="88"/>
      <c r="G71" s="114"/>
    </row>
    <row r="72">
      <c r="B72" s="87"/>
      <c r="C72" s="88"/>
      <c r="D72" s="88"/>
      <c r="E72" s="88"/>
      <c r="F72" s="88"/>
      <c r="G72" s="114"/>
    </row>
    <row r="73">
      <c r="B73" s="87"/>
      <c r="C73" s="88"/>
      <c r="D73" s="88"/>
      <c r="E73" s="88"/>
      <c r="F73" s="88"/>
      <c r="G73" s="114"/>
    </row>
    <row r="74">
      <c r="B74" s="87"/>
      <c r="C74" s="88"/>
      <c r="D74" s="88"/>
      <c r="E74" s="88"/>
      <c r="F74" s="88"/>
      <c r="G74" s="114"/>
    </row>
    <row r="75">
      <c r="B75" s="87"/>
      <c r="C75" s="88"/>
      <c r="D75" s="88"/>
      <c r="E75" s="88"/>
      <c r="F75" s="88"/>
      <c r="G75" s="114"/>
    </row>
    <row r="76">
      <c r="B76" s="87"/>
      <c r="C76" s="88"/>
      <c r="D76" s="88"/>
      <c r="E76" s="88"/>
      <c r="F76" s="88"/>
      <c r="G76" s="114"/>
    </row>
    <row r="77">
      <c r="B77" s="87"/>
      <c r="C77" s="88"/>
      <c r="D77" s="88"/>
      <c r="E77" s="88"/>
      <c r="F77" s="88"/>
      <c r="G77" s="114"/>
    </row>
    <row r="78">
      <c r="B78" s="87"/>
      <c r="C78" s="88"/>
      <c r="D78" s="88"/>
      <c r="E78" s="88"/>
      <c r="F78" s="88"/>
      <c r="G78" s="114"/>
    </row>
    <row r="79">
      <c r="B79" s="87"/>
      <c r="C79" s="88"/>
      <c r="D79" s="88"/>
      <c r="E79" s="88"/>
      <c r="F79" s="88"/>
      <c r="G79" s="114"/>
    </row>
    <row r="80">
      <c r="B80" s="87"/>
      <c r="C80" s="88"/>
      <c r="D80" s="88"/>
      <c r="E80" s="88"/>
      <c r="F80" s="88"/>
      <c r="G80" s="114"/>
    </row>
    <row r="81">
      <c r="B81" s="87"/>
      <c r="C81" s="88"/>
      <c r="D81" s="88"/>
      <c r="E81" s="88"/>
      <c r="F81" s="88"/>
      <c r="G81" s="114"/>
    </row>
    <row r="82">
      <c r="B82" s="87"/>
      <c r="C82" s="88"/>
      <c r="D82" s="88"/>
      <c r="E82" s="88"/>
      <c r="F82" s="88"/>
      <c r="G82" s="114"/>
    </row>
    <row r="83">
      <c r="B83" s="87"/>
      <c r="C83" s="88"/>
      <c r="D83" s="88"/>
      <c r="E83" s="88"/>
      <c r="F83" s="88"/>
      <c r="G83" s="114"/>
    </row>
    <row r="84">
      <c r="B84" s="87"/>
      <c r="C84" s="88"/>
      <c r="D84" s="88"/>
      <c r="E84" s="88"/>
      <c r="F84" s="88"/>
      <c r="G84" s="114"/>
    </row>
    <row r="85">
      <c r="B85" s="87"/>
      <c r="C85" s="88"/>
      <c r="D85" s="88"/>
      <c r="E85" s="88"/>
      <c r="F85" s="88"/>
      <c r="G85" s="114"/>
    </row>
    <row r="86">
      <c r="B86" s="87"/>
      <c r="C86" s="88"/>
      <c r="D86" s="88"/>
      <c r="E86" s="88"/>
      <c r="F86" s="88"/>
      <c r="G86" s="114"/>
    </row>
    <row r="87">
      <c r="B87" s="87"/>
      <c r="C87" s="88"/>
      <c r="D87" s="88"/>
      <c r="E87" s="88"/>
      <c r="F87" s="88"/>
      <c r="G87" s="114"/>
    </row>
    <row r="88">
      <c r="B88" s="87"/>
      <c r="C88" s="88"/>
      <c r="D88" s="88"/>
      <c r="E88" s="88"/>
      <c r="F88" s="88"/>
      <c r="G88" s="114"/>
    </row>
    <row r="89">
      <c r="B89" s="87"/>
      <c r="C89" s="88"/>
      <c r="D89" s="88"/>
      <c r="E89" s="88"/>
      <c r="F89" s="88"/>
      <c r="G89" s="114"/>
    </row>
    <row r="90">
      <c r="B90" s="87"/>
      <c r="C90" s="88"/>
      <c r="D90" s="88"/>
      <c r="E90" s="88"/>
      <c r="F90" s="88"/>
      <c r="G90" s="114"/>
    </row>
    <row r="91">
      <c r="B91" s="87"/>
      <c r="C91" s="88"/>
      <c r="D91" s="88"/>
      <c r="E91" s="88"/>
      <c r="F91" s="88"/>
      <c r="G91" s="114"/>
    </row>
    <row r="92">
      <c r="B92" s="87"/>
      <c r="C92" s="88"/>
      <c r="D92" s="88"/>
      <c r="E92" s="88"/>
      <c r="F92" s="88"/>
      <c r="G92" s="114"/>
    </row>
    <row r="93">
      <c r="B93" s="87"/>
      <c r="C93" s="88"/>
      <c r="D93" s="88"/>
      <c r="E93" s="88"/>
      <c r="F93" s="88"/>
      <c r="G93" s="114"/>
    </row>
    <row r="94">
      <c r="B94" s="87"/>
      <c r="C94" s="88"/>
      <c r="D94" s="88"/>
      <c r="E94" s="88"/>
      <c r="F94" s="88"/>
      <c r="G94" s="114"/>
    </row>
    <row r="95">
      <c r="B95" s="87"/>
      <c r="C95" s="88"/>
      <c r="D95" s="88"/>
      <c r="E95" s="88"/>
      <c r="F95" s="88"/>
      <c r="G95" s="114"/>
    </row>
    <row r="96">
      <c r="B96" s="87"/>
      <c r="C96" s="88"/>
      <c r="D96" s="88"/>
      <c r="E96" s="88"/>
      <c r="F96" s="88"/>
      <c r="G96" s="114"/>
    </row>
    <row r="97">
      <c r="B97" s="87"/>
      <c r="C97" s="88"/>
      <c r="D97" s="88"/>
      <c r="E97" s="88"/>
      <c r="F97" s="88"/>
      <c r="G97" s="114"/>
    </row>
    <row r="98">
      <c r="B98" s="87"/>
      <c r="C98" s="88"/>
      <c r="D98" s="88"/>
      <c r="E98" s="88"/>
      <c r="F98" s="88"/>
      <c r="G98" s="114"/>
    </row>
    <row r="99">
      <c r="B99" s="87"/>
      <c r="C99" s="88"/>
      <c r="D99" s="88"/>
      <c r="E99" s="88"/>
      <c r="F99" s="88"/>
      <c r="G99" s="114"/>
    </row>
    <row r="100">
      <c r="B100" s="87"/>
      <c r="C100" s="88"/>
      <c r="D100" s="88"/>
      <c r="E100" s="88"/>
      <c r="F100" s="88"/>
      <c r="G100" s="114"/>
    </row>
    <row r="101">
      <c r="B101" s="87"/>
      <c r="C101" s="88"/>
      <c r="D101" s="88"/>
      <c r="E101" s="88"/>
      <c r="F101" s="88"/>
      <c r="G101" s="114"/>
    </row>
    <row r="102">
      <c r="B102" s="87"/>
      <c r="C102" s="88"/>
      <c r="D102" s="88"/>
      <c r="E102" s="88"/>
      <c r="F102" s="88"/>
      <c r="G102" s="114"/>
    </row>
    <row r="103">
      <c r="B103" s="87"/>
      <c r="C103" s="88"/>
      <c r="D103" s="88"/>
      <c r="E103" s="88"/>
      <c r="F103" s="88"/>
      <c r="G103" s="114"/>
    </row>
    <row r="104">
      <c r="B104" s="87"/>
      <c r="C104" s="88"/>
      <c r="D104" s="88"/>
      <c r="E104" s="88"/>
      <c r="F104" s="88"/>
      <c r="G104" s="114"/>
    </row>
    <row r="105">
      <c r="B105" s="87"/>
      <c r="C105" s="88"/>
      <c r="D105" s="88"/>
      <c r="E105" s="88"/>
      <c r="F105" s="88"/>
      <c r="G105" s="114"/>
    </row>
    <row r="106">
      <c r="B106" s="87"/>
      <c r="C106" s="88"/>
      <c r="D106" s="88"/>
      <c r="E106" s="88"/>
      <c r="F106" s="88"/>
      <c r="G106" s="114"/>
    </row>
    <row r="107">
      <c r="B107" s="87"/>
      <c r="C107" s="88"/>
      <c r="D107" s="88"/>
      <c r="E107" s="88"/>
      <c r="F107" s="88"/>
      <c r="G107" s="114"/>
    </row>
    <row r="108">
      <c r="B108" s="87"/>
      <c r="C108" s="88"/>
      <c r="D108" s="88"/>
      <c r="E108" s="88"/>
      <c r="F108" s="88"/>
      <c r="G108" s="114"/>
    </row>
    <row r="109">
      <c r="B109" s="87"/>
      <c r="C109" s="88"/>
      <c r="D109" s="88"/>
      <c r="E109" s="88"/>
      <c r="F109" s="88"/>
      <c r="G109" s="114"/>
    </row>
    <row r="110">
      <c r="B110" s="87"/>
      <c r="C110" s="88"/>
      <c r="D110" s="88"/>
      <c r="E110" s="88"/>
      <c r="F110" s="88"/>
      <c r="G110" s="114"/>
    </row>
    <row r="111">
      <c r="B111" s="87"/>
      <c r="C111" s="88"/>
      <c r="D111" s="88"/>
      <c r="E111" s="88"/>
      <c r="F111" s="88"/>
      <c r="G111" s="114"/>
    </row>
    <row r="112">
      <c r="B112" s="87"/>
      <c r="C112" s="88"/>
      <c r="D112" s="88"/>
      <c r="E112" s="88"/>
      <c r="F112" s="88"/>
      <c r="G112" s="114"/>
    </row>
    <row r="113">
      <c r="B113" s="87"/>
      <c r="C113" s="88"/>
      <c r="D113" s="88"/>
      <c r="E113" s="88"/>
      <c r="F113" s="88"/>
      <c r="G113" s="114"/>
    </row>
    <row r="114">
      <c r="B114" s="87"/>
      <c r="C114" s="88"/>
      <c r="D114" s="88"/>
      <c r="E114" s="88"/>
      <c r="F114" s="88"/>
      <c r="G114" s="114"/>
    </row>
    <row r="115">
      <c r="B115" s="87"/>
      <c r="C115" s="88"/>
      <c r="D115" s="88"/>
      <c r="E115" s="88"/>
      <c r="F115" s="88"/>
      <c r="G115" s="114"/>
    </row>
    <row r="116">
      <c r="B116" s="87"/>
      <c r="C116" s="88"/>
      <c r="D116" s="88"/>
      <c r="E116" s="88"/>
      <c r="F116" s="88"/>
      <c r="G116" s="114"/>
    </row>
    <row r="117">
      <c r="B117" s="87"/>
      <c r="C117" s="88"/>
      <c r="D117" s="88"/>
      <c r="E117" s="88"/>
      <c r="F117" s="88"/>
      <c r="G117" s="114"/>
    </row>
    <row r="118">
      <c r="B118" s="87"/>
      <c r="C118" s="88"/>
      <c r="D118" s="88"/>
      <c r="E118" s="88"/>
      <c r="F118" s="88"/>
      <c r="G118" s="114"/>
    </row>
    <row r="119">
      <c r="B119" s="87"/>
      <c r="C119" s="88"/>
      <c r="D119" s="88"/>
      <c r="E119" s="88"/>
      <c r="F119" s="88"/>
      <c r="G119" s="114"/>
    </row>
    <row r="120">
      <c r="B120" s="87"/>
      <c r="C120" s="88"/>
      <c r="D120" s="88"/>
      <c r="E120" s="88"/>
      <c r="F120" s="88"/>
      <c r="G120" s="114"/>
    </row>
    <row r="121">
      <c r="B121" s="87"/>
      <c r="C121" s="88"/>
      <c r="D121" s="88"/>
      <c r="E121" s="88"/>
      <c r="F121" s="88"/>
      <c r="G121" s="114"/>
    </row>
    <row r="122">
      <c r="B122" s="87"/>
      <c r="C122" s="88"/>
      <c r="D122" s="88"/>
      <c r="E122" s="88"/>
      <c r="F122" s="88"/>
      <c r="G122" s="114"/>
    </row>
    <row r="123">
      <c r="B123" s="87"/>
      <c r="C123" s="88"/>
      <c r="D123" s="88"/>
      <c r="E123" s="88"/>
      <c r="F123" s="88"/>
      <c r="G123" s="114"/>
    </row>
    <row r="124">
      <c r="B124" s="87"/>
      <c r="C124" s="88"/>
      <c r="D124" s="88"/>
      <c r="E124" s="88"/>
      <c r="F124" s="88"/>
      <c r="G124" s="114"/>
    </row>
    <row r="125">
      <c r="B125" s="87"/>
      <c r="C125" s="88"/>
      <c r="D125" s="88"/>
      <c r="E125" s="88"/>
      <c r="F125" s="88"/>
      <c r="G125" s="114"/>
    </row>
    <row r="126">
      <c r="B126" s="87"/>
      <c r="C126" s="88"/>
      <c r="D126" s="88"/>
      <c r="E126" s="88"/>
      <c r="F126" s="88"/>
      <c r="G126" s="114"/>
    </row>
    <row r="127">
      <c r="B127" s="87"/>
      <c r="C127" s="88"/>
      <c r="D127" s="88"/>
      <c r="E127" s="88"/>
      <c r="F127" s="88"/>
      <c r="G127" s="114"/>
    </row>
    <row r="128">
      <c r="B128" s="87"/>
      <c r="C128" s="88"/>
      <c r="D128" s="88"/>
      <c r="E128" s="88"/>
      <c r="F128" s="88"/>
      <c r="G128" s="114"/>
    </row>
    <row r="129">
      <c r="B129" s="87"/>
      <c r="C129" s="88"/>
      <c r="D129" s="88"/>
      <c r="E129" s="88"/>
      <c r="F129" s="88"/>
      <c r="G129" s="114"/>
    </row>
    <row r="130">
      <c r="B130" s="87"/>
      <c r="C130" s="88"/>
      <c r="D130" s="88"/>
      <c r="E130" s="88"/>
      <c r="F130" s="88"/>
      <c r="G130" s="114"/>
    </row>
    <row r="131">
      <c r="B131" s="87"/>
      <c r="C131" s="88"/>
      <c r="D131" s="88"/>
      <c r="E131" s="88"/>
      <c r="F131" s="88"/>
      <c r="G131" s="114"/>
    </row>
    <row r="132">
      <c r="B132" s="87"/>
      <c r="C132" s="88"/>
      <c r="D132" s="88"/>
      <c r="E132" s="88"/>
      <c r="F132" s="88"/>
      <c r="G132" s="114"/>
    </row>
    <row r="133">
      <c r="B133" s="87"/>
      <c r="C133" s="88"/>
      <c r="D133" s="88"/>
      <c r="E133" s="88"/>
      <c r="F133" s="88"/>
      <c r="G133" s="114"/>
    </row>
    <row r="134">
      <c r="B134" s="87"/>
      <c r="C134" s="88"/>
      <c r="D134" s="88"/>
      <c r="E134" s="88"/>
      <c r="F134" s="88"/>
      <c r="G134" s="114"/>
    </row>
    <row r="135">
      <c r="B135" s="87"/>
      <c r="C135" s="88"/>
      <c r="D135" s="88"/>
      <c r="E135" s="88"/>
      <c r="F135" s="88"/>
      <c r="G135" s="114"/>
    </row>
    <row r="136">
      <c r="B136" s="87"/>
      <c r="C136" s="88"/>
      <c r="D136" s="88"/>
      <c r="E136" s="88"/>
      <c r="F136" s="88"/>
      <c r="G136" s="114"/>
    </row>
    <row r="137">
      <c r="B137" s="87"/>
      <c r="C137" s="88"/>
      <c r="D137" s="88"/>
      <c r="E137" s="88"/>
      <c r="F137" s="88"/>
      <c r="G137" s="114"/>
    </row>
    <row r="138">
      <c r="B138" s="87"/>
      <c r="C138" s="88"/>
      <c r="D138" s="88"/>
      <c r="E138" s="88"/>
      <c r="F138" s="88"/>
      <c r="G138" s="114"/>
    </row>
    <row r="139">
      <c r="B139" s="87"/>
      <c r="C139" s="88"/>
      <c r="D139" s="88"/>
      <c r="E139" s="88"/>
      <c r="F139" s="88"/>
      <c r="G139" s="114"/>
    </row>
    <row r="140">
      <c r="B140" s="87"/>
      <c r="C140" s="88"/>
      <c r="D140" s="88"/>
      <c r="E140" s="88"/>
      <c r="F140" s="88"/>
      <c r="G140" s="114"/>
    </row>
    <row r="141">
      <c r="B141" s="87"/>
      <c r="C141" s="88"/>
      <c r="D141" s="88"/>
      <c r="E141" s="88"/>
      <c r="F141" s="88"/>
      <c r="G141" s="114"/>
    </row>
    <row r="142">
      <c r="B142" s="87"/>
      <c r="C142" s="88"/>
      <c r="D142" s="88"/>
      <c r="E142" s="88"/>
      <c r="F142" s="88"/>
      <c r="G142" s="114"/>
    </row>
    <row r="143">
      <c r="B143" s="87"/>
      <c r="C143" s="88"/>
      <c r="D143" s="88"/>
      <c r="E143" s="88"/>
      <c r="F143" s="88"/>
      <c r="G143" s="114"/>
    </row>
    <row r="144">
      <c r="B144" s="87"/>
      <c r="C144" s="88"/>
      <c r="D144" s="88"/>
      <c r="E144" s="88"/>
      <c r="F144" s="88"/>
      <c r="G144" s="114"/>
    </row>
    <row r="145">
      <c r="B145" s="87"/>
      <c r="C145" s="88"/>
      <c r="D145" s="88"/>
      <c r="E145" s="88"/>
      <c r="F145" s="88"/>
      <c r="G145" s="114"/>
    </row>
    <row r="146">
      <c r="B146" s="87"/>
      <c r="C146" s="88"/>
      <c r="D146" s="88"/>
      <c r="E146" s="88"/>
      <c r="F146" s="88"/>
      <c r="G146" s="114"/>
    </row>
    <row r="147">
      <c r="B147" s="87"/>
      <c r="C147" s="88"/>
      <c r="D147" s="88"/>
      <c r="E147" s="88"/>
      <c r="F147" s="88"/>
      <c r="G147" s="114"/>
    </row>
    <row r="148">
      <c r="B148" s="87"/>
      <c r="C148" s="88"/>
      <c r="D148" s="88"/>
      <c r="E148" s="88"/>
      <c r="F148" s="88"/>
      <c r="G148" s="114"/>
    </row>
    <row r="149">
      <c r="B149" s="87"/>
      <c r="C149" s="88"/>
      <c r="D149" s="88"/>
      <c r="E149" s="88"/>
      <c r="F149" s="88"/>
      <c r="G149" s="114"/>
    </row>
    <row r="150">
      <c r="B150" s="87"/>
      <c r="C150" s="88"/>
      <c r="D150" s="88"/>
      <c r="E150" s="88"/>
      <c r="F150" s="88"/>
      <c r="G150" s="114"/>
    </row>
    <row r="151">
      <c r="B151" s="87"/>
      <c r="C151" s="88"/>
      <c r="D151" s="88"/>
      <c r="E151" s="88"/>
      <c r="F151" s="88"/>
      <c r="G151" s="114"/>
    </row>
    <row r="152">
      <c r="B152" s="87"/>
      <c r="C152" s="88"/>
      <c r="D152" s="88"/>
      <c r="E152" s="88"/>
      <c r="F152" s="88"/>
      <c r="G152" s="114"/>
    </row>
    <row r="153">
      <c r="B153" s="87"/>
      <c r="C153" s="88"/>
      <c r="D153" s="88"/>
      <c r="E153" s="88"/>
      <c r="F153" s="88"/>
      <c r="G153" s="114"/>
    </row>
    <row r="154">
      <c r="B154" s="87"/>
      <c r="C154" s="88"/>
      <c r="D154" s="88"/>
      <c r="E154" s="88"/>
      <c r="F154" s="88"/>
      <c r="G154" s="114"/>
    </row>
    <row r="155">
      <c r="B155" s="87"/>
      <c r="C155" s="88"/>
      <c r="D155" s="88"/>
      <c r="E155" s="88"/>
      <c r="F155" s="88"/>
      <c r="G155" s="114"/>
    </row>
    <row r="156">
      <c r="B156" s="87"/>
      <c r="C156" s="88"/>
      <c r="D156" s="88"/>
      <c r="E156" s="88"/>
      <c r="F156" s="88"/>
      <c r="G156" s="114"/>
    </row>
    <row r="157">
      <c r="B157" s="87"/>
      <c r="C157" s="88"/>
      <c r="D157" s="88"/>
      <c r="E157" s="88"/>
      <c r="F157" s="88"/>
      <c r="G157" s="114"/>
    </row>
    <row r="158">
      <c r="B158" s="87"/>
      <c r="C158" s="88"/>
      <c r="D158" s="88"/>
      <c r="E158" s="88"/>
      <c r="F158" s="88"/>
      <c r="G158" s="114"/>
    </row>
    <row r="159">
      <c r="B159" s="87"/>
      <c r="C159" s="88"/>
      <c r="D159" s="88"/>
      <c r="E159" s="88"/>
      <c r="F159" s="88"/>
      <c r="G159" s="114"/>
    </row>
    <row r="160">
      <c r="B160" s="87"/>
      <c r="C160" s="88"/>
      <c r="D160" s="88"/>
      <c r="E160" s="88"/>
      <c r="F160" s="88"/>
      <c r="G160" s="114"/>
    </row>
    <row r="161">
      <c r="B161" s="87"/>
      <c r="C161" s="88"/>
      <c r="D161" s="88"/>
      <c r="E161" s="88"/>
      <c r="F161" s="88"/>
      <c r="G161" s="114"/>
    </row>
    <row r="162">
      <c r="B162" s="87"/>
      <c r="C162" s="88"/>
      <c r="D162" s="88"/>
      <c r="E162" s="88"/>
      <c r="F162" s="88"/>
      <c r="G162" s="114"/>
    </row>
    <row r="163">
      <c r="B163" s="87"/>
      <c r="C163" s="88"/>
      <c r="D163" s="88"/>
      <c r="E163" s="88"/>
      <c r="F163" s="88"/>
      <c r="G163" s="114"/>
    </row>
    <row r="164">
      <c r="B164" s="87"/>
      <c r="C164" s="88"/>
      <c r="D164" s="88"/>
      <c r="E164" s="88"/>
      <c r="F164" s="88"/>
      <c r="G164" s="114"/>
    </row>
    <row r="165">
      <c r="B165" s="87"/>
      <c r="C165" s="88"/>
      <c r="D165" s="88"/>
      <c r="E165" s="88"/>
      <c r="F165" s="88"/>
      <c r="G165" s="114"/>
    </row>
    <row r="166">
      <c r="B166" s="87"/>
      <c r="C166" s="88"/>
      <c r="D166" s="88"/>
      <c r="E166" s="88"/>
      <c r="F166" s="88"/>
      <c r="G166" s="114"/>
    </row>
    <row r="167">
      <c r="B167" s="87"/>
      <c r="C167" s="88"/>
      <c r="D167" s="88"/>
      <c r="E167" s="88"/>
      <c r="F167" s="88"/>
      <c r="G167" s="114"/>
    </row>
    <row r="168">
      <c r="B168" s="87"/>
      <c r="C168" s="88"/>
      <c r="D168" s="88"/>
      <c r="E168" s="88"/>
      <c r="F168" s="88"/>
      <c r="G168" s="114"/>
    </row>
    <row r="169">
      <c r="B169" s="87"/>
      <c r="C169" s="88"/>
      <c r="D169" s="88"/>
      <c r="E169" s="88"/>
      <c r="F169" s="88"/>
      <c r="G169" s="114"/>
    </row>
    <row r="170">
      <c r="B170" s="87"/>
      <c r="C170" s="88"/>
      <c r="D170" s="88"/>
      <c r="E170" s="88"/>
      <c r="F170" s="88"/>
      <c r="G170" s="114"/>
    </row>
    <row r="171">
      <c r="B171" s="87"/>
      <c r="C171" s="88"/>
      <c r="D171" s="88"/>
      <c r="E171" s="88"/>
      <c r="F171" s="88"/>
      <c r="G171" s="114"/>
    </row>
    <row r="172">
      <c r="B172" s="87"/>
      <c r="C172" s="88"/>
      <c r="D172" s="88"/>
      <c r="E172" s="88"/>
      <c r="F172" s="88"/>
      <c r="G172" s="114"/>
    </row>
    <row r="173">
      <c r="B173" s="87"/>
      <c r="C173" s="88"/>
      <c r="D173" s="88"/>
      <c r="E173" s="88"/>
      <c r="F173" s="88"/>
      <c r="G173" s="114"/>
    </row>
    <row r="174">
      <c r="B174" s="87"/>
      <c r="C174" s="88"/>
      <c r="D174" s="88"/>
      <c r="E174" s="88"/>
      <c r="F174" s="88"/>
      <c r="G174" s="114"/>
    </row>
    <row r="175">
      <c r="B175" s="87"/>
      <c r="C175" s="88"/>
      <c r="D175" s="88"/>
      <c r="E175" s="88"/>
      <c r="F175" s="88"/>
      <c r="G175" s="114"/>
    </row>
    <row r="176">
      <c r="B176" s="87"/>
      <c r="C176" s="88"/>
      <c r="D176" s="88"/>
      <c r="E176" s="88"/>
      <c r="F176" s="88"/>
      <c r="G176" s="114"/>
    </row>
    <row r="177">
      <c r="B177" s="87"/>
      <c r="C177" s="88"/>
      <c r="D177" s="88"/>
      <c r="E177" s="88"/>
      <c r="F177" s="88"/>
      <c r="G177" s="114"/>
    </row>
    <row r="178">
      <c r="B178" s="87"/>
      <c r="C178" s="88"/>
      <c r="D178" s="88"/>
      <c r="E178" s="88"/>
      <c r="F178" s="88"/>
      <c r="G178" s="114"/>
    </row>
    <row r="179">
      <c r="B179" s="87"/>
      <c r="C179" s="88"/>
      <c r="D179" s="88"/>
      <c r="E179" s="88"/>
      <c r="F179" s="88"/>
      <c r="G179" s="114"/>
    </row>
    <row r="180">
      <c r="B180" s="87"/>
      <c r="C180" s="88"/>
      <c r="D180" s="88"/>
      <c r="E180" s="88"/>
      <c r="F180" s="88"/>
      <c r="G180" s="114"/>
    </row>
    <row r="181">
      <c r="B181" s="87"/>
      <c r="C181" s="88"/>
      <c r="D181" s="88"/>
      <c r="E181" s="88"/>
      <c r="F181" s="88"/>
      <c r="G181" s="114"/>
    </row>
    <row r="182">
      <c r="B182" s="87"/>
      <c r="C182" s="88"/>
      <c r="D182" s="88"/>
      <c r="E182" s="88"/>
      <c r="F182" s="88"/>
      <c r="G182" s="114"/>
    </row>
    <row r="183">
      <c r="B183" s="87"/>
      <c r="C183" s="88"/>
      <c r="D183" s="88"/>
      <c r="E183" s="88"/>
      <c r="F183" s="88"/>
      <c r="G183" s="114"/>
    </row>
    <row r="184">
      <c r="B184" s="87"/>
      <c r="C184" s="88"/>
      <c r="D184" s="88"/>
      <c r="E184" s="88"/>
      <c r="F184" s="88"/>
      <c r="G184" s="114"/>
    </row>
    <row r="185">
      <c r="B185" s="87"/>
      <c r="C185" s="88"/>
      <c r="D185" s="88"/>
      <c r="E185" s="88"/>
      <c r="F185" s="88"/>
      <c r="G185" s="114"/>
    </row>
    <row r="186">
      <c r="B186" s="87"/>
      <c r="C186" s="88"/>
      <c r="D186" s="88"/>
      <c r="E186" s="88"/>
      <c r="F186" s="88"/>
      <c r="G186" s="114"/>
    </row>
    <row r="187">
      <c r="B187" s="87"/>
      <c r="C187" s="88"/>
      <c r="D187" s="88"/>
      <c r="E187" s="88"/>
      <c r="F187" s="88"/>
      <c r="G187" s="114"/>
    </row>
    <row r="188">
      <c r="B188" s="87"/>
      <c r="C188" s="88"/>
      <c r="D188" s="88"/>
      <c r="E188" s="88"/>
      <c r="F188" s="88"/>
      <c r="G188" s="114"/>
    </row>
    <row r="189">
      <c r="B189" s="87"/>
      <c r="C189" s="88"/>
      <c r="D189" s="88"/>
      <c r="E189" s="88"/>
      <c r="F189" s="88"/>
      <c r="G189" s="114"/>
    </row>
    <row r="190">
      <c r="B190" s="87"/>
      <c r="C190" s="88"/>
      <c r="D190" s="88"/>
      <c r="E190" s="88"/>
      <c r="F190" s="88"/>
      <c r="G190" s="114"/>
    </row>
    <row r="191">
      <c r="B191" s="87"/>
      <c r="C191" s="88"/>
      <c r="D191" s="88"/>
      <c r="E191" s="88"/>
      <c r="F191" s="88"/>
      <c r="G191" s="114"/>
    </row>
    <row r="192">
      <c r="B192" s="87"/>
      <c r="C192" s="88"/>
      <c r="D192" s="88"/>
      <c r="E192" s="88"/>
      <c r="F192" s="88"/>
      <c r="G192" s="114"/>
    </row>
    <row r="193">
      <c r="B193" s="87"/>
      <c r="C193" s="88"/>
      <c r="D193" s="88"/>
      <c r="E193" s="88"/>
      <c r="F193" s="88"/>
      <c r="G193" s="114"/>
    </row>
    <row r="194">
      <c r="B194" s="87"/>
      <c r="C194" s="88"/>
      <c r="D194" s="88"/>
      <c r="E194" s="88"/>
      <c r="F194" s="88"/>
      <c r="G194" s="114"/>
    </row>
    <row r="195">
      <c r="B195" s="87"/>
      <c r="C195" s="88"/>
      <c r="D195" s="88"/>
      <c r="E195" s="88"/>
      <c r="F195" s="88"/>
      <c r="G195" s="114"/>
    </row>
    <row r="196">
      <c r="B196" s="87"/>
      <c r="C196" s="88"/>
      <c r="D196" s="88"/>
      <c r="E196" s="88"/>
      <c r="F196" s="88"/>
      <c r="G196" s="114"/>
    </row>
    <row r="197">
      <c r="B197" s="87"/>
      <c r="C197" s="88"/>
      <c r="D197" s="88"/>
      <c r="E197" s="88"/>
      <c r="F197" s="88"/>
      <c r="G197" s="114"/>
    </row>
    <row r="198">
      <c r="B198" s="87"/>
      <c r="C198" s="88"/>
      <c r="D198" s="88"/>
      <c r="E198" s="88"/>
      <c r="F198" s="88"/>
      <c r="G198" s="114"/>
    </row>
    <row r="199">
      <c r="B199" s="87"/>
      <c r="C199" s="88"/>
      <c r="D199" s="88"/>
      <c r="E199" s="88"/>
      <c r="F199" s="88"/>
      <c r="G199" s="114"/>
    </row>
    <row r="200">
      <c r="B200" s="87"/>
      <c r="C200" s="88"/>
      <c r="D200" s="88"/>
      <c r="E200" s="88"/>
      <c r="F200" s="88"/>
      <c r="G200" s="114"/>
    </row>
    <row r="201">
      <c r="B201" s="87"/>
      <c r="C201" s="88"/>
      <c r="D201" s="88"/>
      <c r="E201" s="88"/>
      <c r="F201" s="88"/>
      <c r="G201" s="114"/>
    </row>
    <row r="202">
      <c r="B202" s="87"/>
      <c r="C202" s="88"/>
      <c r="D202" s="88"/>
      <c r="E202" s="88"/>
      <c r="F202" s="88"/>
      <c r="G202" s="114"/>
    </row>
    <row r="203">
      <c r="B203" s="87"/>
      <c r="C203" s="88"/>
      <c r="D203" s="88"/>
      <c r="E203" s="88"/>
      <c r="F203" s="88"/>
      <c r="G203" s="114"/>
    </row>
    <row r="204">
      <c r="B204" s="87"/>
      <c r="C204" s="88"/>
      <c r="D204" s="88"/>
      <c r="E204" s="88"/>
      <c r="F204" s="88"/>
      <c r="G204" s="114"/>
    </row>
    <row r="205">
      <c r="B205" s="87"/>
      <c r="C205" s="88"/>
      <c r="D205" s="88"/>
      <c r="E205" s="88"/>
      <c r="F205" s="88"/>
      <c r="G205" s="114"/>
    </row>
    <row r="206">
      <c r="B206" s="87"/>
      <c r="C206" s="88"/>
      <c r="D206" s="88"/>
      <c r="E206" s="88"/>
      <c r="F206" s="88"/>
      <c r="G206" s="114"/>
    </row>
    <row r="207">
      <c r="B207" s="87"/>
      <c r="C207" s="88"/>
      <c r="D207" s="88"/>
      <c r="E207" s="88"/>
      <c r="F207" s="88"/>
      <c r="G207" s="114"/>
    </row>
    <row r="208">
      <c r="B208" s="87"/>
      <c r="C208" s="88"/>
      <c r="D208" s="88"/>
      <c r="E208" s="88"/>
      <c r="F208" s="88"/>
      <c r="G208" s="114"/>
    </row>
    <row r="209">
      <c r="B209" s="87"/>
      <c r="C209" s="88"/>
      <c r="D209" s="88"/>
      <c r="E209" s="88"/>
      <c r="F209" s="88"/>
      <c r="G209" s="114"/>
    </row>
    <row r="210">
      <c r="B210" s="87"/>
      <c r="C210" s="88"/>
      <c r="D210" s="88"/>
      <c r="E210" s="88"/>
      <c r="F210" s="88"/>
      <c r="G210" s="114"/>
    </row>
    <row r="211">
      <c r="B211" s="87"/>
      <c r="C211" s="88"/>
      <c r="D211" s="88"/>
      <c r="E211" s="88"/>
      <c r="F211" s="88"/>
      <c r="G211" s="114"/>
    </row>
    <row r="212">
      <c r="B212" s="87"/>
      <c r="C212" s="88"/>
      <c r="D212" s="88"/>
      <c r="E212" s="88"/>
      <c r="F212" s="88"/>
      <c r="G212" s="114"/>
    </row>
    <row r="213">
      <c r="B213" s="87"/>
      <c r="C213" s="88"/>
      <c r="D213" s="88"/>
      <c r="E213" s="88"/>
      <c r="F213" s="88"/>
      <c r="G213" s="114"/>
    </row>
    <row r="214">
      <c r="B214" s="87"/>
      <c r="C214" s="88"/>
      <c r="D214" s="88"/>
      <c r="E214" s="88"/>
      <c r="F214" s="88"/>
      <c r="G214" s="114"/>
    </row>
    <row r="215">
      <c r="B215" s="87"/>
      <c r="C215" s="88"/>
      <c r="D215" s="88"/>
      <c r="E215" s="88"/>
      <c r="F215" s="88"/>
      <c r="G215" s="114"/>
    </row>
    <row r="216">
      <c r="B216" s="87"/>
      <c r="C216" s="88"/>
      <c r="D216" s="88"/>
      <c r="E216" s="88"/>
      <c r="F216" s="88"/>
      <c r="G216" s="114"/>
    </row>
    <row r="217">
      <c r="B217" s="87"/>
      <c r="C217" s="88"/>
      <c r="D217" s="88"/>
      <c r="E217" s="88"/>
      <c r="F217" s="88"/>
      <c r="G217" s="114"/>
    </row>
    <row r="218">
      <c r="B218" s="87"/>
      <c r="C218" s="88"/>
      <c r="D218" s="88"/>
      <c r="E218" s="88"/>
      <c r="F218" s="88"/>
      <c r="G218" s="114"/>
    </row>
    <row r="219">
      <c r="B219" s="87"/>
      <c r="C219" s="88"/>
      <c r="D219" s="88"/>
      <c r="E219" s="88"/>
      <c r="F219" s="88"/>
      <c r="G219" s="114"/>
    </row>
    <row r="220">
      <c r="B220" s="87"/>
      <c r="C220" s="88"/>
      <c r="D220" s="88"/>
      <c r="E220" s="88"/>
      <c r="F220" s="88"/>
      <c r="G220" s="114"/>
    </row>
    <row r="221">
      <c r="B221" s="87"/>
      <c r="C221" s="88"/>
      <c r="D221" s="88"/>
      <c r="E221" s="88"/>
      <c r="F221" s="88"/>
      <c r="G221" s="114"/>
    </row>
    <row r="222">
      <c r="B222" s="87"/>
      <c r="C222" s="88"/>
      <c r="D222" s="88"/>
      <c r="E222" s="88"/>
      <c r="F222" s="88"/>
      <c r="G222" s="114"/>
    </row>
    <row r="223">
      <c r="B223" s="87"/>
      <c r="C223" s="88"/>
      <c r="D223" s="88"/>
      <c r="E223" s="88"/>
      <c r="F223" s="88"/>
      <c r="G223" s="114"/>
    </row>
    <row r="224">
      <c r="B224" s="87"/>
      <c r="C224" s="88"/>
      <c r="D224" s="88"/>
      <c r="E224" s="88"/>
      <c r="F224" s="88"/>
      <c r="G224" s="114"/>
    </row>
    <row r="225">
      <c r="B225" s="87"/>
      <c r="C225" s="88"/>
      <c r="D225" s="88"/>
      <c r="E225" s="88"/>
      <c r="F225" s="88"/>
      <c r="G225" s="114"/>
    </row>
    <row r="226">
      <c r="B226" s="87"/>
      <c r="C226" s="88"/>
      <c r="D226" s="88"/>
      <c r="E226" s="88"/>
      <c r="F226" s="88"/>
      <c r="G226" s="114"/>
    </row>
    <row r="227">
      <c r="B227" s="87"/>
      <c r="C227" s="88"/>
      <c r="D227" s="88"/>
      <c r="E227" s="88"/>
      <c r="F227" s="88"/>
      <c r="G227" s="114"/>
    </row>
    <row r="228">
      <c r="B228" s="87"/>
      <c r="C228" s="88"/>
      <c r="D228" s="88"/>
      <c r="E228" s="88"/>
      <c r="F228" s="88"/>
      <c r="G228" s="114"/>
    </row>
    <row r="229">
      <c r="B229" s="87"/>
      <c r="C229" s="88"/>
      <c r="D229" s="88"/>
      <c r="E229" s="88"/>
      <c r="F229" s="88"/>
      <c r="G229" s="114"/>
    </row>
    <row r="230">
      <c r="B230" s="87"/>
      <c r="C230" s="88"/>
      <c r="D230" s="88"/>
      <c r="E230" s="88"/>
      <c r="F230" s="88"/>
      <c r="G230" s="114"/>
    </row>
    <row r="231">
      <c r="B231" s="87"/>
      <c r="C231" s="88"/>
      <c r="D231" s="88"/>
      <c r="E231" s="88"/>
      <c r="F231" s="88"/>
      <c r="G231" s="114"/>
    </row>
    <row r="232">
      <c r="B232" s="87"/>
      <c r="C232" s="88"/>
      <c r="D232" s="88"/>
      <c r="E232" s="88"/>
      <c r="F232" s="88"/>
      <c r="G232" s="114"/>
    </row>
    <row r="233">
      <c r="B233" s="87"/>
      <c r="C233" s="88"/>
      <c r="D233" s="88"/>
      <c r="E233" s="88"/>
      <c r="F233" s="88"/>
      <c r="G233" s="114"/>
    </row>
    <row r="234">
      <c r="B234" s="87"/>
      <c r="C234" s="88"/>
      <c r="D234" s="88"/>
      <c r="E234" s="88"/>
      <c r="F234" s="88"/>
      <c r="G234" s="114"/>
    </row>
    <row r="235">
      <c r="B235" s="87"/>
      <c r="C235" s="88"/>
      <c r="D235" s="88"/>
      <c r="E235" s="88"/>
      <c r="F235" s="88"/>
      <c r="G235" s="114"/>
    </row>
    <row r="236">
      <c r="B236" s="87"/>
      <c r="C236" s="88"/>
      <c r="D236" s="88"/>
      <c r="E236" s="88"/>
      <c r="F236" s="88"/>
      <c r="G236" s="114"/>
    </row>
    <row r="237">
      <c r="B237" s="87"/>
      <c r="C237" s="88"/>
      <c r="D237" s="88"/>
      <c r="E237" s="88"/>
      <c r="F237" s="88"/>
      <c r="G237" s="114"/>
    </row>
    <row r="238">
      <c r="B238" s="87"/>
      <c r="C238" s="88"/>
      <c r="D238" s="88"/>
      <c r="E238" s="88"/>
      <c r="F238" s="88"/>
      <c r="G238" s="114"/>
    </row>
    <row r="239">
      <c r="B239" s="87"/>
      <c r="C239" s="88"/>
      <c r="D239" s="88"/>
      <c r="E239" s="88"/>
      <c r="F239" s="88"/>
      <c r="G239" s="114"/>
    </row>
    <row r="240">
      <c r="B240" s="87"/>
      <c r="C240" s="88"/>
      <c r="D240" s="88"/>
      <c r="E240" s="88"/>
      <c r="F240" s="88"/>
      <c r="G240" s="114"/>
    </row>
    <row r="241">
      <c r="B241" s="87"/>
      <c r="C241" s="88"/>
      <c r="D241" s="88"/>
      <c r="E241" s="88"/>
      <c r="F241" s="88"/>
      <c r="G241" s="114"/>
    </row>
    <row r="242">
      <c r="B242" s="87"/>
      <c r="C242" s="88"/>
      <c r="D242" s="88"/>
      <c r="E242" s="88"/>
      <c r="F242" s="88"/>
      <c r="G242" s="114"/>
    </row>
    <row r="243">
      <c r="B243" s="87"/>
      <c r="C243" s="88"/>
      <c r="D243" s="88"/>
      <c r="E243" s="88"/>
      <c r="F243" s="88"/>
      <c r="G243" s="114"/>
    </row>
    <row r="244">
      <c r="B244" s="87"/>
      <c r="C244" s="88"/>
      <c r="D244" s="88"/>
      <c r="E244" s="88"/>
      <c r="F244" s="88"/>
      <c r="G244" s="114"/>
    </row>
    <row r="245">
      <c r="B245" s="87"/>
      <c r="C245" s="88"/>
      <c r="D245" s="88"/>
      <c r="E245" s="88"/>
      <c r="F245" s="88"/>
      <c r="G245" s="114"/>
    </row>
    <row r="246">
      <c r="B246" s="87"/>
      <c r="C246" s="88"/>
      <c r="D246" s="88"/>
      <c r="E246" s="88"/>
      <c r="F246" s="88"/>
      <c r="G246" s="114"/>
    </row>
    <row r="247">
      <c r="B247" s="87"/>
      <c r="C247" s="88"/>
      <c r="D247" s="88"/>
      <c r="E247" s="88"/>
      <c r="F247" s="88"/>
      <c r="G247" s="114"/>
    </row>
    <row r="248">
      <c r="B248" s="87"/>
      <c r="C248" s="88"/>
      <c r="D248" s="88"/>
      <c r="E248" s="88"/>
      <c r="F248" s="88"/>
      <c r="G248" s="114"/>
    </row>
    <row r="249">
      <c r="B249" s="87"/>
      <c r="C249" s="88"/>
      <c r="D249" s="88"/>
      <c r="E249" s="88"/>
      <c r="F249" s="88"/>
      <c r="G249" s="114"/>
    </row>
    <row r="250">
      <c r="B250" s="87"/>
      <c r="C250" s="88"/>
      <c r="D250" s="88"/>
      <c r="E250" s="88"/>
      <c r="F250" s="88"/>
      <c r="G250" s="114"/>
    </row>
    <row r="251">
      <c r="B251" s="87"/>
      <c r="C251" s="88"/>
      <c r="D251" s="88"/>
      <c r="E251" s="88"/>
      <c r="F251" s="88"/>
      <c r="G251" s="114"/>
    </row>
    <row r="252">
      <c r="B252" s="87"/>
      <c r="C252" s="88"/>
      <c r="D252" s="88"/>
      <c r="E252" s="88"/>
      <c r="F252" s="88"/>
      <c r="G252" s="114"/>
    </row>
    <row r="253">
      <c r="B253" s="87"/>
      <c r="C253" s="88"/>
      <c r="D253" s="88"/>
      <c r="E253" s="88"/>
      <c r="F253" s="88"/>
      <c r="G253" s="114"/>
    </row>
    <row r="254">
      <c r="B254" s="87"/>
      <c r="C254" s="88"/>
      <c r="D254" s="88"/>
      <c r="E254" s="88"/>
      <c r="F254" s="88"/>
      <c r="G254" s="114"/>
    </row>
    <row r="255">
      <c r="B255" s="87"/>
      <c r="C255" s="88"/>
      <c r="D255" s="88"/>
      <c r="E255" s="88"/>
      <c r="F255" s="88"/>
      <c r="G255" s="114"/>
    </row>
    <row r="256">
      <c r="B256" s="87"/>
      <c r="C256" s="88"/>
      <c r="D256" s="88"/>
      <c r="E256" s="88"/>
      <c r="F256" s="88"/>
      <c r="G256" s="114"/>
    </row>
    <row r="257">
      <c r="B257" s="87"/>
      <c r="C257" s="88"/>
      <c r="D257" s="88"/>
      <c r="E257" s="88"/>
      <c r="F257" s="88"/>
      <c r="G257" s="114"/>
    </row>
    <row r="258">
      <c r="B258" s="87"/>
      <c r="C258" s="88"/>
      <c r="D258" s="88"/>
      <c r="E258" s="88"/>
      <c r="F258" s="88"/>
      <c r="G258" s="114"/>
    </row>
    <row r="259">
      <c r="B259" s="87"/>
      <c r="C259" s="88"/>
      <c r="D259" s="88"/>
      <c r="E259" s="88"/>
      <c r="F259" s="88"/>
      <c r="G259" s="114"/>
    </row>
    <row r="260">
      <c r="B260" s="87"/>
      <c r="C260" s="88"/>
      <c r="D260" s="88"/>
      <c r="E260" s="88"/>
      <c r="F260" s="88"/>
      <c r="G260" s="114"/>
    </row>
    <row r="261">
      <c r="B261" s="87"/>
      <c r="C261" s="88"/>
      <c r="D261" s="88"/>
      <c r="E261" s="88"/>
      <c r="F261" s="88"/>
      <c r="G261" s="114"/>
    </row>
    <row r="262">
      <c r="B262" s="87"/>
      <c r="C262" s="88"/>
      <c r="D262" s="88"/>
      <c r="E262" s="88"/>
      <c r="F262" s="88"/>
      <c r="G262" s="114"/>
    </row>
    <row r="263">
      <c r="B263" s="87"/>
      <c r="C263" s="88"/>
      <c r="D263" s="88"/>
      <c r="E263" s="88"/>
      <c r="F263" s="88"/>
      <c r="G263" s="114"/>
    </row>
    <row r="264">
      <c r="B264" s="87"/>
      <c r="C264" s="88"/>
      <c r="D264" s="88"/>
      <c r="E264" s="88"/>
      <c r="F264" s="88"/>
      <c r="G264" s="114"/>
    </row>
    <row r="265">
      <c r="B265" s="87"/>
      <c r="C265" s="88"/>
      <c r="D265" s="88"/>
      <c r="E265" s="88"/>
      <c r="F265" s="88"/>
      <c r="G265" s="114"/>
    </row>
    <row r="266">
      <c r="B266" s="87"/>
      <c r="C266" s="88"/>
      <c r="D266" s="88"/>
      <c r="E266" s="88"/>
      <c r="F266" s="88"/>
      <c r="G266" s="114"/>
    </row>
    <row r="267">
      <c r="B267" s="87"/>
      <c r="C267" s="88"/>
      <c r="D267" s="88"/>
      <c r="E267" s="88"/>
      <c r="F267" s="88"/>
      <c r="G267" s="114"/>
    </row>
    <row r="268">
      <c r="B268" s="87"/>
      <c r="C268" s="88"/>
      <c r="D268" s="88"/>
      <c r="E268" s="88"/>
      <c r="F268" s="88"/>
      <c r="G268" s="114"/>
    </row>
    <row r="269">
      <c r="B269" s="87"/>
      <c r="C269" s="88"/>
      <c r="D269" s="88"/>
      <c r="E269" s="88"/>
      <c r="F269" s="88"/>
      <c r="G269" s="114"/>
    </row>
    <row r="270">
      <c r="B270" s="87"/>
      <c r="C270" s="88"/>
      <c r="D270" s="88"/>
      <c r="E270" s="88"/>
      <c r="F270" s="88"/>
      <c r="G270" s="114"/>
    </row>
    <row r="271">
      <c r="B271" s="87"/>
      <c r="C271" s="88"/>
      <c r="D271" s="88"/>
      <c r="E271" s="88"/>
      <c r="F271" s="88"/>
      <c r="G271" s="114"/>
    </row>
    <row r="272">
      <c r="B272" s="87"/>
      <c r="C272" s="88"/>
      <c r="D272" s="88"/>
      <c r="E272" s="88"/>
      <c r="F272" s="88"/>
      <c r="G272" s="114"/>
    </row>
    <row r="273">
      <c r="B273" s="87"/>
      <c r="C273" s="88"/>
      <c r="D273" s="88"/>
      <c r="E273" s="88"/>
      <c r="F273" s="88"/>
      <c r="G273" s="114"/>
    </row>
    <row r="274">
      <c r="B274" s="87"/>
      <c r="C274" s="88"/>
      <c r="D274" s="88"/>
      <c r="E274" s="88"/>
      <c r="F274" s="88"/>
      <c r="G274" s="114"/>
    </row>
    <row r="275">
      <c r="B275" s="87"/>
      <c r="C275" s="88"/>
      <c r="D275" s="88"/>
      <c r="E275" s="88"/>
      <c r="F275" s="88"/>
      <c r="G275" s="114"/>
    </row>
    <row r="276">
      <c r="B276" s="87"/>
      <c r="C276" s="88"/>
      <c r="D276" s="88"/>
      <c r="E276" s="88"/>
      <c r="F276" s="88"/>
      <c r="G276" s="114"/>
    </row>
    <row r="277">
      <c r="B277" s="87"/>
      <c r="C277" s="88"/>
      <c r="D277" s="88"/>
      <c r="E277" s="88"/>
      <c r="F277" s="88"/>
      <c r="G277" s="114"/>
    </row>
    <row r="278">
      <c r="B278" s="87"/>
      <c r="C278" s="88"/>
      <c r="D278" s="88"/>
      <c r="E278" s="88"/>
      <c r="F278" s="88"/>
      <c r="G278" s="114"/>
    </row>
    <row r="279">
      <c r="B279" s="87"/>
      <c r="C279" s="88"/>
      <c r="D279" s="88"/>
      <c r="E279" s="88"/>
      <c r="F279" s="88"/>
      <c r="G279" s="114"/>
    </row>
    <row r="280">
      <c r="B280" s="87"/>
      <c r="C280" s="88"/>
      <c r="D280" s="88"/>
      <c r="E280" s="88"/>
      <c r="F280" s="88"/>
      <c r="G280" s="114"/>
    </row>
    <row r="281">
      <c r="B281" s="87"/>
      <c r="C281" s="88"/>
      <c r="D281" s="88"/>
      <c r="E281" s="88"/>
      <c r="F281" s="88"/>
      <c r="G281" s="114"/>
    </row>
    <row r="282">
      <c r="B282" s="87"/>
      <c r="C282" s="88"/>
      <c r="D282" s="88"/>
      <c r="E282" s="88"/>
      <c r="F282" s="88"/>
      <c r="G282" s="114"/>
    </row>
    <row r="283">
      <c r="B283" s="87"/>
      <c r="C283" s="88"/>
      <c r="D283" s="88"/>
      <c r="E283" s="88"/>
      <c r="F283" s="88"/>
      <c r="G283" s="114"/>
    </row>
    <row r="284">
      <c r="B284" s="87"/>
      <c r="C284" s="88"/>
      <c r="D284" s="88"/>
      <c r="E284" s="88"/>
      <c r="F284" s="88"/>
      <c r="G284" s="114"/>
    </row>
    <row r="285">
      <c r="B285" s="87"/>
      <c r="C285" s="88"/>
      <c r="D285" s="88"/>
      <c r="E285" s="88"/>
      <c r="F285" s="88"/>
      <c r="G285" s="114"/>
    </row>
    <row r="286">
      <c r="B286" s="87"/>
      <c r="C286" s="88"/>
      <c r="D286" s="88"/>
      <c r="E286" s="88"/>
      <c r="F286" s="88"/>
      <c r="G286" s="114"/>
    </row>
    <row r="287">
      <c r="B287" s="87"/>
      <c r="C287" s="88"/>
      <c r="D287" s="88"/>
      <c r="E287" s="88"/>
      <c r="F287" s="88"/>
      <c r="G287" s="114"/>
    </row>
    <row r="288">
      <c r="B288" s="87"/>
      <c r="C288" s="88"/>
      <c r="D288" s="88"/>
      <c r="E288" s="88"/>
      <c r="F288" s="88"/>
      <c r="G288" s="114"/>
    </row>
    <row r="289">
      <c r="B289" s="87"/>
      <c r="C289" s="88"/>
      <c r="D289" s="88"/>
      <c r="E289" s="88"/>
      <c r="F289" s="88"/>
      <c r="G289" s="114"/>
    </row>
    <row r="290">
      <c r="B290" s="87"/>
      <c r="C290" s="88"/>
      <c r="D290" s="88"/>
      <c r="E290" s="88"/>
      <c r="F290" s="88"/>
      <c r="G290" s="114"/>
    </row>
    <row r="291">
      <c r="B291" s="87"/>
      <c r="C291" s="88"/>
      <c r="D291" s="88"/>
      <c r="E291" s="88"/>
      <c r="F291" s="88"/>
      <c r="G291" s="114"/>
    </row>
    <row r="292">
      <c r="B292" s="87"/>
      <c r="C292" s="88"/>
      <c r="D292" s="88"/>
      <c r="E292" s="88"/>
      <c r="F292" s="88"/>
      <c r="G292" s="114"/>
    </row>
    <row r="293">
      <c r="B293" s="87"/>
      <c r="C293" s="88"/>
      <c r="D293" s="88"/>
      <c r="E293" s="88"/>
      <c r="F293" s="88"/>
      <c r="G293" s="114"/>
    </row>
    <row r="294">
      <c r="B294" s="87"/>
      <c r="C294" s="88"/>
      <c r="D294" s="88"/>
      <c r="E294" s="88"/>
      <c r="F294" s="88"/>
      <c r="G294" s="114"/>
    </row>
    <row r="295">
      <c r="B295" s="87"/>
      <c r="C295" s="88"/>
      <c r="D295" s="88"/>
      <c r="E295" s="88"/>
      <c r="F295" s="88"/>
      <c r="G295" s="114"/>
    </row>
    <row r="296">
      <c r="B296" s="87"/>
      <c r="C296" s="88"/>
      <c r="D296" s="88"/>
      <c r="E296" s="88"/>
      <c r="F296" s="88"/>
      <c r="G296" s="114"/>
    </row>
    <row r="297">
      <c r="B297" s="87"/>
      <c r="C297" s="88"/>
      <c r="D297" s="88"/>
      <c r="E297" s="88"/>
      <c r="F297" s="88"/>
      <c r="G297" s="114"/>
    </row>
    <row r="298">
      <c r="B298" s="87"/>
      <c r="C298" s="88"/>
      <c r="D298" s="88"/>
      <c r="E298" s="88"/>
      <c r="F298" s="88"/>
      <c r="G298" s="114"/>
    </row>
    <row r="299">
      <c r="B299" s="87"/>
      <c r="C299" s="88"/>
      <c r="D299" s="88"/>
      <c r="E299" s="88"/>
      <c r="F299" s="88"/>
      <c r="G299" s="114"/>
    </row>
    <row r="300">
      <c r="B300" s="87"/>
      <c r="C300" s="88"/>
      <c r="D300" s="88"/>
      <c r="E300" s="88"/>
      <c r="F300" s="88"/>
      <c r="G300" s="114"/>
    </row>
    <row r="301">
      <c r="B301" s="87"/>
      <c r="C301" s="88"/>
      <c r="D301" s="88"/>
      <c r="E301" s="88"/>
      <c r="F301" s="88"/>
      <c r="G301" s="114"/>
    </row>
    <row r="302">
      <c r="B302" s="87"/>
      <c r="C302" s="88"/>
      <c r="D302" s="88"/>
      <c r="E302" s="88"/>
      <c r="F302" s="88"/>
      <c r="G302" s="114"/>
    </row>
    <row r="303">
      <c r="B303" s="87"/>
      <c r="C303" s="88"/>
      <c r="D303" s="88"/>
      <c r="E303" s="88"/>
      <c r="F303" s="88"/>
      <c r="G303" s="114"/>
    </row>
    <row r="304">
      <c r="B304" s="87"/>
      <c r="C304" s="88"/>
      <c r="D304" s="88"/>
      <c r="E304" s="88"/>
      <c r="F304" s="88"/>
      <c r="G304" s="114"/>
    </row>
    <row r="305">
      <c r="B305" s="87"/>
      <c r="C305" s="88"/>
      <c r="D305" s="88"/>
      <c r="E305" s="88"/>
      <c r="F305" s="88"/>
      <c r="G305" s="114"/>
    </row>
    <row r="306">
      <c r="B306" s="87"/>
      <c r="C306" s="88"/>
      <c r="D306" s="88"/>
      <c r="E306" s="88"/>
      <c r="F306" s="88"/>
      <c r="G306" s="114"/>
    </row>
    <row r="307">
      <c r="B307" s="87"/>
      <c r="C307" s="88"/>
      <c r="D307" s="88"/>
      <c r="E307" s="88"/>
      <c r="F307" s="88"/>
      <c r="G307" s="114"/>
    </row>
    <row r="308">
      <c r="B308" s="87"/>
      <c r="C308" s="88"/>
      <c r="D308" s="88"/>
      <c r="E308" s="88"/>
      <c r="F308" s="88"/>
      <c r="G308" s="114"/>
    </row>
    <row r="309">
      <c r="B309" s="87"/>
      <c r="C309" s="88"/>
      <c r="D309" s="88"/>
      <c r="E309" s="88"/>
      <c r="F309" s="88"/>
      <c r="G309" s="114"/>
    </row>
    <row r="310">
      <c r="B310" s="87"/>
      <c r="C310" s="88"/>
      <c r="D310" s="88"/>
      <c r="E310" s="88"/>
      <c r="F310" s="88"/>
      <c r="G310" s="114"/>
    </row>
    <row r="311">
      <c r="B311" s="87"/>
      <c r="C311" s="88"/>
      <c r="D311" s="88"/>
      <c r="E311" s="88"/>
      <c r="F311" s="88"/>
      <c r="G311" s="114"/>
    </row>
    <row r="312">
      <c r="B312" s="87"/>
      <c r="C312" s="88"/>
      <c r="D312" s="88"/>
      <c r="E312" s="88"/>
      <c r="F312" s="88"/>
      <c r="G312" s="114"/>
    </row>
    <row r="313">
      <c r="B313" s="87"/>
      <c r="C313" s="88"/>
      <c r="D313" s="88"/>
      <c r="E313" s="88"/>
      <c r="F313" s="88"/>
      <c r="G313" s="114"/>
    </row>
    <row r="314">
      <c r="B314" s="87"/>
      <c r="C314" s="88"/>
      <c r="D314" s="88"/>
      <c r="E314" s="88"/>
      <c r="F314" s="88"/>
      <c r="G314" s="114"/>
    </row>
    <row r="315">
      <c r="B315" s="87"/>
      <c r="C315" s="88"/>
      <c r="D315" s="88"/>
      <c r="E315" s="88"/>
      <c r="F315" s="88"/>
      <c r="G315" s="114"/>
    </row>
    <row r="316">
      <c r="B316" s="87"/>
      <c r="C316" s="88"/>
      <c r="D316" s="88"/>
      <c r="E316" s="88"/>
      <c r="F316" s="88"/>
      <c r="G316" s="114"/>
    </row>
    <row r="317">
      <c r="B317" s="87"/>
      <c r="C317" s="88"/>
      <c r="D317" s="88"/>
      <c r="E317" s="88"/>
      <c r="F317" s="88"/>
      <c r="G317" s="114"/>
    </row>
    <row r="318">
      <c r="B318" s="87"/>
      <c r="C318" s="88"/>
      <c r="D318" s="88"/>
      <c r="E318" s="88"/>
      <c r="F318" s="88"/>
      <c r="G318" s="114"/>
    </row>
    <row r="319">
      <c r="B319" s="87"/>
      <c r="C319" s="88"/>
      <c r="D319" s="88"/>
      <c r="E319" s="88"/>
      <c r="F319" s="88"/>
      <c r="G319" s="114"/>
    </row>
    <row r="320">
      <c r="B320" s="87"/>
      <c r="C320" s="88"/>
      <c r="D320" s="88"/>
      <c r="E320" s="88"/>
      <c r="F320" s="88"/>
      <c r="G320" s="114"/>
    </row>
    <row r="321">
      <c r="B321" s="87"/>
      <c r="C321" s="88"/>
      <c r="D321" s="88"/>
      <c r="E321" s="88"/>
      <c r="F321" s="88"/>
      <c r="G321" s="114"/>
    </row>
    <row r="322">
      <c r="B322" s="87"/>
      <c r="C322" s="88"/>
      <c r="D322" s="88"/>
      <c r="E322" s="88"/>
      <c r="F322" s="88"/>
      <c r="G322" s="114"/>
    </row>
    <row r="323">
      <c r="B323" s="87"/>
      <c r="C323" s="88"/>
      <c r="D323" s="88"/>
      <c r="E323" s="88"/>
      <c r="F323" s="88"/>
      <c r="G323" s="114"/>
    </row>
    <row r="324">
      <c r="B324" s="87"/>
      <c r="C324" s="88"/>
      <c r="D324" s="88"/>
      <c r="E324" s="88"/>
      <c r="F324" s="88"/>
      <c r="G324" s="114"/>
    </row>
    <row r="325">
      <c r="B325" s="87"/>
      <c r="C325" s="88"/>
      <c r="D325" s="88"/>
      <c r="E325" s="88"/>
      <c r="F325" s="88"/>
      <c r="G325" s="114"/>
    </row>
    <row r="326">
      <c r="B326" s="87"/>
      <c r="C326" s="88"/>
      <c r="D326" s="88"/>
      <c r="E326" s="88"/>
      <c r="F326" s="88"/>
      <c r="G326" s="114"/>
    </row>
    <row r="327">
      <c r="B327" s="87"/>
      <c r="C327" s="88"/>
      <c r="D327" s="88"/>
      <c r="E327" s="88"/>
      <c r="F327" s="88"/>
      <c r="G327" s="114"/>
    </row>
    <row r="328">
      <c r="B328" s="87"/>
      <c r="C328" s="88"/>
      <c r="D328" s="88"/>
      <c r="E328" s="88"/>
      <c r="F328" s="88"/>
      <c r="G328" s="114"/>
    </row>
    <row r="329">
      <c r="B329" s="87"/>
      <c r="C329" s="88"/>
      <c r="D329" s="88"/>
      <c r="E329" s="88"/>
      <c r="F329" s="88"/>
      <c r="G329" s="114"/>
    </row>
    <row r="330">
      <c r="B330" s="87"/>
      <c r="C330" s="88"/>
      <c r="D330" s="88"/>
      <c r="E330" s="88"/>
      <c r="F330" s="88"/>
      <c r="G330" s="114"/>
    </row>
    <row r="331">
      <c r="B331" s="87"/>
      <c r="C331" s="88"/>
      <c r="D331" s="88"/>
      <c r="E331" s="88"/>
      <c r="F331" s="88"/>
      <c r="G331" s="114"/>
    </row>
    <row r="332">
      <c r="B332" s="87"/>
      <c r="C332" s="88"/>
      <c r="D332" s="88"/>
      <c r="E332" s="88"/>
      <c r="F332" s="88"/>
      <c r="G332" s="114"/>
    </row>
    <row r="333">
      <c r="B333" s="87"/>
      <c r="C333" s="88"/>
      <c r="D333" s="88"/>
      <c r="E333" s="88"/>
      <c r="F333" s="88"/>
      <c r="G333" s="114"/>
    </row>
    <row r="334">
      <c r="B334" s="87"/>
      <c r="C334" s="88"/>
      <c r="D334" s="88"/>
      <c r="E334" s="88"/>
      <c r="F334" s="88"/>
      <c r="G334" s="114"/>
    </row>
    <row r="335">
      <c r="B335" s="87"/>
      <c r="C335" s="88"/>
      <c r="D335" s="88"/>
      <c r="E335" s="88"/>
      <c r="F335" s="88"/>
      <c r="G335" s="114"/>
    </row>
    <row r="336">
      <c r="B336" s="87"/>
      <c r="C336" s="88"/>
      <c r="D336" s="88"/>
      <c r="E336" s="88"/>
      <c r="F336" s="88"/>
      <c r="G336" s="114"/>
    </row>
    <row r="337">
      <c r="B337" s="87"/>
      <c r="C337" s="88"/>
      <c r="D337" s="88"/>
      <c r="E337" s="88"/>
      <c r="F337" s="88"/>
      <c r="G337" s="114"/>
    </row>
    <row r="338">
      <c r="B338" s="87"/>
      <c r="C338" s="88"/>
      <c r="D338" s="88"/>
      <c r="E338" s="88"/>
      <c r="F338" s="88"/>
      <c r="G338" s="114"/>
    </row>
    <row r="339">
      <c r="B339" s="87"/>
      <c r="C339" s="88"/>
      <c r="D339" s="88"/>
      <c r="E339" s="88"/>
      <c r="F339" s="88"/>
      <c r="G339" s="114"/>
    </row>
    <row r="340">
      <c r="B340" s="87"/>
      <c r="C340" s="88"/>
      <c r="D340" s="88"/>
      <c r="E340" s="88"/>
      <c r="F340" s="88"/>
      <c r="G340" s="114"/>
    </row>
    <row r="341">
      <c r="B341" s="87"/>
      <c r="C341" s="88"/>
      <c r="D341" s="88"/>
      <c r="E341" s="88"/>
      <c r="F341" s="88"/>
      <c r="G341" s="114"/>
    </row>
    <row r="342">
      <c r="B342" s="87"/>
      <c r="C342" s="88"/>
      <c r="D342" s="88"/>
      <c r="E342" s="88"/>
      <c r="F342" s="88"/>
      <c r="G342" s="114"/>
    </row>
    <row r="343">
      <c r="B343" s="87"/>
      <c r="C343" s="88"/>
      <c r="D343" s="88"/>
      <c r="E343" s="88"/>
      <c r="F343" s="88"/>
      <c r="G343" s="114"/>
    </row>
    <row r="344">
      <c r="B344" s="87"/>
      <c r="C344" s="88"/>
      <c r="D344" s="88"/>
      <c r="E344" s="88"/>
      <c r="F344" s="88"/>
      <c r="G344" s="114"/>
    </row>
    <row r="345">
      <c r="B345" s="87"/>
      <c r="C345" s="88"/>
      <c r="D345" s="88"/>
      <c r="E345" s="88"/>
      <c r="F345" s="88"/>
      <c r="G345" s="114"/>
    </row>
    <row r="346">
      <c r="B346" s="87"/>
      <c r="C346" s="88"/>
      <c r="D346" s="88"/>
      <c r="E346" s="88"/>
      <c r="F346" s="88"/>
      <c r="G346" s="114"/>
    </row>
    <row r="347">
      <c r="B347" s="87"/>
      <c r="C347" s="88"/>
      <c r="D347" s="88"/>
      <c r="E347" s="88"/>
      <c r="F347" s="88"/>
      <c r="G347" s="114"/>
    </row>
    <row r="348">
      <c r="B348" s="87"/>
      <c r="C348" s="88"/>
      <c r="D348" s="88"/>
      <c r="E348" s="88"/>
      <c r="F348" s="88"/>
      <c r="G348" s="114"/>
    </row>
    <row r="349">
      <c r="B349" s="87"/>
      <c r="C349" s="88"/>
      <c r="D349" s="88"/>
      <c r="E349" s="88"/>
      <c r="F349" s="88"/>
      <c r="G349" s="114"/>
    </row>
    <row r="350">
      <c r="B350" s="87"/>
      <c r="C350" s="88"/>
      <c r="D350" s="88"/>
      <c r="E350" s="88"/>
      <c r="F350" s="88"/>
      <c r="G350" s="114"/>
    </row>
    <row r="351">
      <c r="B351" s="87"/>
      <c r="C351" s="88"/>
      <c r="D351" s="88"/>
      <c r="E351" s="88"/>
      <c r="F351" s="88"/>
      <c r="G351" s="114"/>
    </row>
    <row r="352">
      <c r="B352" s="87"/>
      <c r="C352" s="88"/>
      <c r="D352" s="88"/>
      <c r="E352" s="88"/>
      <c r="F352" s="88"/>
      <c r="G352" s="114"/>
    </row>
    <row r="353">
      <c r="B353" s="87"/>
      <c r="C353" s="88"/>
      <c r="D353" s="88"/>
      <c r="E353" s="88"/>
      <c r="F353" s="88"/>
      <c r="G353" s="114"/>
    </row>
    <row r="354">
      <c r="B354" s="87"/>
      <c r="C354" s="88"/>
      <c r="D354" s="88"/>
      <c r="E354" s="88"/>
      <c r="F354" s="88"/>
      <c r="G354" s="114"/>
    </row>
    <row r="355">
      <c r="B355" s="87"/>
      <c r="C355" s="88"/>
      <c r="D355" s="88"/>
      <c r="E355" s="88"/>
      <c r="F355" s="88"/>
      <c r="G355" s="114"/>
    </row>
    <row r="356">
      <c r="B356" s="87"/>
      <c r="C356" s="88"/>
      <c r="D356" s="88"/>
      <c r="E356" s="88"/>
      <c r="F356" s="88"/>
      <c r="G356" s="114"/>
    </row>
    <row r="357">
      <c r="B357" s="87"/>
      <c r="C357" s="88"/>
      <c r="D357" s="88"/>
      <c r="E357" s="88"/>
      <c r="F357" s="88"/>
      <c r="G357" s="114"/>
    </row>
    <row r="358">
      <c r="B358" s="87"/>
      <c r="C358" s="88"/>
      <c r="D358" s="88"/>
      <c r="E358" s="88"/>
      <c r="F358" s="88"/>
      <c r="G358" s="114"/>
    </row>
    <row r="359">
      <c r="B359" s="87"/>
      <c r="C359" s="88"/>
      <c r="D359" s="88"/>
      <c r="E359" s="88"/>
      <c r="F359" s="88"/>
      <c r="G359" s="114"/>
    </row>
    <row r="360">
      <c r="B360" s="87"/>
      <c r="C360" s="88"/>
      <c r="D360" s="88"/>
      <c r="E360" s="88"/>
      <c r="F360" s="88"/>
      <c r="G360" s="114"/>
    </row>
    <row r="361">
      <c r="B361" s="87"/>
      <c r="C361" s="88"/>
      <c r="D361" s="88"/>
      <c r="E361" s="88"/>
      <c r="F361" s="88"/>
      <c r="G361" s="114"/>
    </row>
    <row r="362">
      <c r="B362" s="87"/>
      <c r="C362" s="88"/>
      <c r="D362" s="88"/>
      <c r="E362" s="88"/>
      <c r="F362" s="88"/>
      <c r="G362" s="114"/>
    </row>
    <row r="363">
      <c r="B363" s="87"/>
      <c r="C363" s="88"/>
      <c r="D363" s="88"/>
      <c r="E363" s="88"/>
      <c r="F363" s="88"/>
      <c r="G363" s="114"/>
    </row>
    <row r="364">
      <c r="B364" s="87"/>
      <c r="C364" s="88"/>
      <c r="D364" s="88"/>
      <c r="E364" s="88"/>
      <c r="F364" s="88"/>
      <c r="G364" s="114"/>
    </row>
    <row r="365">
      <c r="B365" s="87"/>
      <c r="C365" s="88"/>
      <c r="D365" s="88"/>
      <c r="E365" s="88"/>
      <c r="F365" s="88"/>
      <c r="G365" s="114"/>
    </row>
    <row r="366">
      <c r="B366" s="87"/>
      <c r="C366" s="88"/>
      <c r="D366" s="88"/>
      <c r="E366" s="88"/>
      <c r="F366" s="88"/>
      <c r="G366" s="114"/>
    </row>
    <row r="367">
      <c r="B367" s="87"/>
      <c r="C367" s="88"/>
      <c r="D367" s="88"/>
      <c r="E367" s="88"/>
      <c r="F367" s="88"/>
      <c r="G367" s="114"/>
    </row>
    <row r="368">
      <c r="B368" s="87"/>
      <c r="C368" s="88"/>
      <c r="D368" s="88"/>
      <c r="E368" s="88"/>
      <c r="F368" s="88"/>
      <c r="G368" s="114"/>
    </row>
    <row r="369">
      <c r="B369" s="87"/>
      <c r="C369" s="88"/>
      <c r="D369" s="88"/>
      <c r="E369" s="88"/>
      <c r="F369" s="88"/>
      <c r="G369" s="114"/>
    </row>
    <row r="370">
      <c r="B370" s="87"/>
      <c r="C370" s="88"/>
      <c r="D370" s="88"/>
      <c r="E370" s="88"/>
      <c r="F370" s="88"/>
      <c r="G370" s="114"/>
    </row>
    <row r="371">
      <c r="B371" s="87"/>
      <c r="C371" s="88"/>
      <c r="D371" s="88"/>
      <c r="E371" s="88"/>
      <c r="F371" s="88"/>
      <c r="G371" s="114"/>
    </row>
    <row r="372">
      <c r="B372" s="87"/>
      <c r="C372" s="88"/>
      <c r="D372" s="88"/>
      <c r="E372" s="88"/>
      <c r="F372" s="88"/>
      <c r="G372" s="114"/>
    </row>
    <row r="373">
      <c r="B373" s="87"/>
      <c r="C373" s="88"/>
      <c r="D373" s="88"/>
      <c r="E373" s="88"/>
      <c r="F373" s="88"/>
      <c r="G373" s="114"/>
    </row>
    <row r="374">
      <c r="B374" s="87"/>
      <c r="C374" s="88"/>
      <c r="D374" s="88"/>
      <c r="E374" s="88"/>
      <c r="F374" s="88"/>
      <c r="G374" s="114"/>
    </row>
    <row r="375">
      <c r="B375" s="87"/>
      <c r="C375" s="88"/>
      <c r="D375" s="88"/>
      <c r="E375" s="88"/>
      <c r="F375" s="88"/>
      <c r="G375" s="114"/>
    </row>
    <row r="376">
      <c r="B376" s="87"/>
      <c r="C376" s="88"/>
      <c r="D376" s="88"/>
      <c r="E376" s="88"/>
      <c r="F376" s="88"/>
      <c r="G376" s="114"/>
    </row>
    <row r="377">
      <c r="B377" s="87"/>
      <c r="C377" s="88"/>
      <c r="D377" s="88"/>
      <c r="E377" s="88"/>
      <c r="F377" s="88"/>
      <c r="G377" s="114"/>
    </row>
    <row r="378">
      <c r="B378" s="87"/>
      <c r="C378" s="88"/>
      <c r="D378" s="88"/>
      <c r="E378" s="88"/>
      <c r="F378" s="88"/>
      <c r="G378" s="114"/>
    </row>
    <row r="379">
      <c r="B379" s="87"/>
      <c r="C379" s="88"/>
      <c r="D379" s="88"/>
      <c r="E379" s="88"/>
      <c r="F379" s="88"/>
      <c r="G379" s="114"/>
    </row>
    <row r="380">
      <c r="B380" s="87"/>
      <c r="C380" s="88"/>
      <c r="D380" s="88"/>
      <c r="E380" s="88"/>
      <c r="F380" s="88"/>
      <c r="G380" s="114"/>
    </row>
    <row r="381">
      <c r="B381" s="87"/>
      <c r="C381" s="88"/>
      <c r="D381" s="88"/>
      <c r="E381" s="88"/>
      <c r="F381" s="88"/>
      <c r="G381" s="114"/>
    </row>
    <row r="382">
      <c r="B382" s="87"/>
      <c r="C382" s="88"/>
      <c r="D382" s="88"/>
      <c r="E382" s="88"/>
      <c r="F382" s="88"/>
      <c r="G382" s="114"/>
    </row>
    <row r="383">
      <c r="B383" s="87"/>
      <c r="C383" s="88"/>
      <c r="D383" s="88"/>
      <c r="E383" s="88"/>
      <c r="F383" s="88"/>
      <c r="G383" s="114"/>
    </row>
    <row r="384">
      <c r="B384" s="87"/>
      <c r="C384" s="88"/>
      <c r="D384" s="88"/>
      <c r="E384" s="88"/>
      <c r="F384" s="88"/>
      <c r="G384" s="114"/>
    </row>
    <row r="385">
      <c r="B385" s="87"/>
      <c r="C385" s="88"/>
      <c r="D385" s="88"/>
      <c r="E385" s="88"/>
      <c r="F385" s="88"/>
      <c r="G385" s="114"/>
    </row>
    <row r="386">
      <c r="B386" s="87"/>
      <c r="C386" s="88"/>
      <c r="D386" s="88"/>
      <c r="E386" s="88"/>
      <c r="F386" s="88"/>
      <c r="G386" s="114"/>
    </row>
    <row r="387">
      <c r="B387" s="87"/>
      <c r="C387" s="88"/>
      <c r="D387" s="88"/>
      <c r="E387" s="88"/>
      <c r="F387" s="88"/>
      <c r="G387" s="114"/>
    </row>
    <row r="388">
      <c r="B388" s="87"/>
      <c r="C388" s="88"/>
      <c r="D388" s="88"/>
      <c r="E388" s="88"/>
      <c r="F388" s="88"/>
      <c r="G388" s="114"/>
    </row>
    <row r="389">
      <c r="B389" s="87"/>
      <c r="C389" s="88"/>
      <c r="D389" s="88"/>
      <c r="E389" s="88"/>
      <c r="F389" s="88"/>
      <c r="G389" s="114"/>
    </row>
    <row r="390">
      <c r="B390" s="87"/>
      <c r="C390" s="88"/>
      <c r="D390" s="88"/>
      <c r="E390" s="88"/>
      <c r="F390" s="88"/>
      <c r="G390" s="114"/>
    </row>
    <row r="391">
      <c r="B391" s="87"/>
      <c r="C391" s="88"/>
      <c r="D391" s="88"/>
      <c r="E391" s="88"/>
      <c r="F391" s="88"/>
      <c r="G391" s="114"/>
    </row>
    <row r="392">
      <c r="B392" s="87"/>
      <c r="C392" s="88"/>
      <c r="D392" s="88"/>
      <c r="E392" s="88"/>
      <c r="F392" s="88"/>
      <c r="G392" s="114"/>
    </row>
    <row r="393">
      <c r="B393" s="87"/>
      <c r="C393" s="88"/>
      <c r="D393" s="88"/>
      <c r="E393" s="88"/>
      <c r="F393" s="88"/>
      <c r="G393" s="114"/>
    </row>
    <row r="394">
      <c r="B394" s="87"/>
      <c r="C394" s="88"/>
      <c r="D394" s="88"/>
      <c r="E394" s="88"/>
      <c r="F394" s="88"/>
      <c r="G394" s="114"/>
    </row>
    <row r="395">
      <c r="B395" s="87"/>
      <c r="C395" s="88"/>
      <c r="D395" s="88"/>
      <c r="E395" s="88"/>
      <c r="F395" s="88"/>
      <c r="G395" s="114"/>
    </row>
    <row r="396">
      <c r="B396" s="87"/>
      <c r="C396" s="88"/>
      <c r="D396" s="88"/>
      <c r="E396" s="88"/>
      <c r="F396" s="88"/>
      <c r="G396" s="114"/>
    </row>
    <row r="397">
      <c r="B397" s="87"/>
      <c r="C397" s="88"/>
      <c r="D397" s="88"/>
      <c r="E397" s="88"/>
      <c r="F397" s="88"/>
      <c r="G397" s="114"/>
    </row>
    <row r="398">
      <c r="B398" s="87"/>
      <c r="C398" s="88"/>
      <c r="D398" s="88"/>
      <c r="E398" s="88"/>
      <c r="F398" s="88"/>
      <c r="G398" s="114"/>
    </row>
    <row r="399">
      <c r="B399" s="87"/>
      <c r="C399" s="88"/>
      <c r="D399" s="88"/>
      <c r="E399" s="88"/>
      <c r="F399" s="88"/>
      <c r="G399" s="114"/>
    </row>
    <row r="400">
      <c r="B400" s="87"/>
      <c r="C400" s="88"/>
      <c r="D400" s="88"/>
      <c r="E400" s="88"/>
      <c r="F400" s="88"/>
      <c r="G400" s="114"/>
    </row>
    <row r="401">
      <c r="B401" s="87"/>
      <c r="C401" s="88"/>
      <c r="D401" s="88"/>
      <c r="E401" s="88"/>
      <c r="F401" s="88"/>
      <c r="G401" s="114"/>
    </row>
    <row r="402">
      <c r="B402" s="87"/>
      <c r="C402" s="88"/>
      <c r="D402" s="88"/>
      <c r="E402" s="88"/>
      <c r="F402" s="88"/>
      <c r="G402" s="114"/>
    </row>
    <row r="403">
      <c r="B403" s="87"/>
      <c r="C403" s="88"/>
      <c r="D403" s="88"/>
      <c r="E403" s="88"/>
      <c r="F403" s="88"/>
      <c r="G403" s="114"/>
    </row>
    <row r="404">
      <c r="B404" s="87"/>
      <c r="C404" s="88"/>
      <c r="D404" s="88"/>
      <c r="E404" s="88"/>
      <c r="F404" s="88"/>
      <c r="G404" s="114"/>
    </row>
    <row r="405">
      <c r="B405" s="87"/>
      <c r="C405" s="88"/>
      <c r="D405" s="88"/>
      <c r="E405" s="88"/>
      <c r="F405" s="88"/>
      <c r="G405" s="114"/>
    </row>
    <row r="406">
      <c r="B406" s="87"/>
      <c r="C406" s="88"/>
      <c r="D406" s="88"/>
      <c r="E406" s="88"/>
      <c r="F406" s="88"/>
      <c r="G406" s="114"/>
    </row>
    <row r="407">
      <c r="B407" s="87"/>
      <c r="C407" s="88"/>
      <c r="D407" s="88"/>
      <c r="E407" s="88"/>
      <c r="F407" s="88"/>
      <c r="G407" s="114"/>
    </row>
    <row r="408">
      <c r="B408" s="87"/>
      <c r="C408" s="88"/>
      <c r="D408" s="88"/>
      <c r="E408" s="88"/>
      <c r="F408" s="88"/>
      <c r="G408" s="114"/>
    </row>
    <row r="409">
      <c r="B409" s="87"/>
      <c r="C409" s="88"/>
      <c r="D409" s="88"/>
      <c r="E409" s="88"/>
      <c r="F409" s="88"/>
      <c r="G409" s="114"/>
    </row>
    <row r="410">
      <c r="B410" s="87"/>
      <c r="C410" s="88"/>
      <c r="D410" s="88"/>
      <c r="E410" s="88"/>
      <c r="F410" s="88"/>
      <c r="G410" s="114"/>
    </row>
    <row r="411">
      <c r="B411" s="87"/>
      <c r="C411" s="88"/>
      <c r="D411" s="88"/>
      <c r="E411" s="88"/>
      <c r="F411" s="88"/>
      <c r="G411" s="114"/>
    </row>
    <row r="412">
      <c r="B412" s="87"/>
      <c r="C412" s="88"/>
      <c r="D412" s="88"/>
      <c r="E412" s="88"/>
      <c r="F412" s="88"/>
      <c r="G412" s="114"/>
    </row>
    <row r="413">
      <c r="B413" s="87"/>
      <c r="C413" s="88"/>
      <c r="D413" s="88"/>
      <c r="E413" s="88"/>
      <c r="F413" s="88"/>
      <c r="G413" s="114"/>
    </row>
    <row r="414">
      <c r="B414" s="87"/>
      <c r="C414" s="88"/>
      <c r="D414" s="88"/>
      <c r="E414" s="88"/>
      <c r="F414" s="88"/>
      <c r="G414" s="114"/>
    </row>
    <row r="415">
      <c r="B415" s="87"/>
      <c r="C415" s="88"/>
      <c r="D415" s="88"/>
      <c r="E415" s="88"/>
      <c r="F415" s="88"/>
      <c r="G415" s="114"/>
    </row>
    <row r="416">
      <c r="B416" s="87"/>
      <c r="C416" s="88"/>
      <c r="D416" s="88"/>
      <c r="E416" s="88"/>
      <c r="F416" s="88"/>
      <c r="G416" s="114"/>
    </row>
    <row r="417">
      <c r="B417" s="87"/>
      <c r="C417" s="88"/>
      <c r="D417" s="88"/>
      <c r="E417" s="88"/>
      <c r="F417" s="88"/>
      <c r="G417" s="114"/>
    </row>
    <row r="418">
      <c r="B418" s="87"/>
      <c r="C418" s="88"/>
      <c r="D418" s="88"/>
      <c r="E418" s="88"/>
      <c r="F418" s="88"/>
      <c r="G418" s="114"/>
    </row>
    <row r="419">
      <c r="B419" s="87"/>
      <c r="C419" s="88"/>
      <c r="D419" s="88"/>
      <c r="E419" s="88"/>
      <c r="F419" s="88"/>
      <c r="G419" s="114"/>
    </row>
    <row r="420">
      <c r="B420" s="87"/>
      <c r="C420" s="88"/>
      <c r="D420" s="88"/>
      <c r="E420" s="88"/>
      <c r="F420" s="88"/>
      <c r="G420" s="114"/>
    </row>
    <row r="421">
      <c r="B421" s="87"/>
      <c r="C421" s="88"/>
      <c r="D421" s="88"/>
      <c r="E421" s="88"/>
      <c r="F421" s="88"/>
      <c r="G421" s="114"/>
    </row>
    <row r="422">
      <c r="B422" s="87"/>
      <c r="C422" s="88"/>
      <c r="D422" s="88"/>
      <c r="E422" s="88"/>
      <c r="F422" s="88"/>
      <c r="G422" s="114"/>
    </row>
    <row r="423">
      <c r="B423" s="87"/>
      <c r="C423" s="88"/>
      <c r="D423" s="88"/>
      <c r="E423" s="88"/>
      <c r="F423" s="88"/>
      <c r="G423" s="114"/>
    </row>
    <row r="424">
      <c r="B424" s="87"/>
      <c r="C424" s="88"/>
      <c r="D424" s="88"/>
      <c r="E424" s="88"/>
      <c r="F424" s="88"/>
      <c r="G424" s="114"/>
    </row>
    <row r="425">
      <c r="B425" s="87"/>
      <c r="C425" s="88"/>
      <c r="D425" s="88"/>
      <c r="E425" s="88"/>
      <c r="F425" s="88"/>
      <c r="G425" s="114"/>
    </row>
    <row r="426">
      <c r="B426" s="87"/>
      <c r="C426" s="88"/>
      <c r="D426" s="88"/>
      <c r="E426" s="88"/>
      <c r="F426" s="88"/>
      <c r="G426" s="114"/>
    </row>
    <row r="427">
      <c r="B427" s="87"/>
      <c r="C427" s="88"/>
      <c r="D427" s="88"/>
      <c r="E427" s="88"/>
      <c r="F427" s="88"/>
      <c r="G427" s="114"/>
    </row>
    <row r="428">
      <c r="B428" s="87"/>
      <c r="C428" s="88"/>
      <c r="D428" s="88"/>
      <c r="E428" s="88"/>
      <c r="F428" s="88"/>
      <c r="G428" s="114"/>
    </row>
    <row r="429">
      <c r="B429" s="87"/>
      <c r="C429" s="88"/>
      <c r="D429" s="88"/>
      <c r="E429" s="88"/>
      <c r="F429" s="88"/>
      <c r="G429" s="114"/>
    </row>
    <row r="430">
      <c r="B430" s="87"/>
      <c r="C430" s="88"/>
      <c r="D430" s="88"/>
      <c r="E430" s="88"/>
      <c r="F430" s="88"/>
      <c r="G430" s="114"/>
    </row>
    <row r="431">
      <c r="B431" s="87"/>
      <c r="C431" s="88"/>
      <c r="D431" s="88"/>
      <c r="E431" s="88"/>
      <c r="F431" s="88"/>
      <c r="G431" s="114"/>
    </row>
    <row r="432">
      <c r="B432" s="87"/>
      <c r="C432" s="88"/>
      <c r="D432" s="88"/>
      <c r="E432" s="88"/>
      <c r="F432" s="88"/>
      <c r="G432" s="114"/>
    </row>
    <row r="433">
      <c r="B433" s="87"/>
      <c r="C433" s="88"/>
      <c r="D433" s="88"/>
      <c r="E433" s="88"/>
      <c r="F433" s="88"/>
      <c r="G433" s="114"/>
    </row>
    <row r="434">
      <c r="B434" s="87"/>
      <c r="C434" s="88"/>
      <c r="D434" s="88"/>
      <c r="E434" s="88"/>
      <c r="F434" s="88"/>
      <c r="G434" s="114"/>
    </row>
    <row r="435">
      <c r="B435" s="87"/>
      <c r="C435" s="88"/>
      <c r="D435" s="88"/>
      <c r="E435" s="88"/>
      <c r="F435" s="88"/>
      <c r="G435" s="114"/>
    </row>
    <row r="436">
      <c r="B436" s="87"/>
      <c r="C436" s="88"/>
      <c r="D436" s="88"/>
      <c r="E436" s="88"/>
      <c r="F436" s="88"/>
      <c r="G436" s="114"/>
    </row>
    <row r="437">
      <c r="B437" s="87"/>
      <c r="C437" s="88"/>
      <c r="D437" s="88"/>
      <c r="E437" s="88"/>
      <c r="F437" s="88"/>
      <c r="G437" s="114"/>
    </row>
    <row r="438">
      <c r="B438" s="87"/>
      <c r="C438" s="88"/>
      <c r="D438" s="88"/>
      <c r="E438" s="88"/>
      <c r="F438" s="88"/>
      <c r="G438" s="114"/>
    </row>
    <row r="439">
      <c r="B439" s="87"/>
      <c r="C439" s="88"/>
      <c r="D439" s="88"/>
      <c r="E439" s="88"/>
      <c r="F439" s="88"/>
      <c r="G439" s="114"/>
    </row>
    <row r="440">
      <c r="B440" s="87"/>
      <c r="C440" s="88"/>
      <c r="D440" s="88"/>
      <c r="E440" s="88"/>
      <c r="F440" s="88"/>
      <c r="G440" s="114"/>
    </row>
    <row r="441">
      <c r="B441" s="87"/>
      <c r="C441" s="88"/>
      <c r="D441" s="88"/>
      <c r="E441" s="88"/>
      <c r="F441" s="88"/>
      <c r="G441" s="114"/>
    </row>
    <row r="442">
      <c r="B442" s="87"/>
      <c r="C442" s="88"/>
      <c r="D442" s="88"/>
      <c r="E442" s="88"/>
      <c r="F442" s="88"/>
      <c r="G442" s="114"/>
    </row>
    <row r="443">
      <c r="B443" s="87"/>
      <c r="C443" s="88"/>
      <c r="D443" s="88"/>
      <c r="E443" s="88"/>
      <c r="F443" s="88"/>
      <c r="G443" s="114"/>
    </row>
    <row r="444">
      <c r="B444" s="87"/>
      <c r="C444" s="88"/>
      <c r="D444" s="88"/>
      <c r="E444" s="88"/>
      <c r="F444" s="88"/>
      <c r="G444" s="114"/>
    </row>
    <row r="445">
      <c r="B445" s="87"/>
      <c r="C445" s="88"/>
      <c r="D445" s="88"/>
      <c r="E445" s="88"/>
      <c r="F445" s="88"/>
      <c r="G445" s="114"/>
    </row>
    <row r="446">
      <c r="B446" s="87"/>
      <c r="C446" s="88"/>
      <c r="D446" s="88"/>
      <c r="E446" s="88"/>
      <c r="F446" s="88"/>
      <c r="G446" s="114"/>
    </row>
    <row r="447">
      <c r="B447" s="87"/>
      <c r="C447" s="88"/>
      <c r="D447" s="88"/>
      <c r="E447" s="88"/>
      <c r="F447" s="88"/>
      <c r="G447" s="114"/>
    </row>
    <row r="448">
      <c r="B448" s="87"/>
      <c r="C448" s="88"/>
      <c r="D448" s="88"/>
      <c r="E448" s="88"/>
      <c r="F448" s="88"/>
      <c r="G448" s="114"/>
    </row>
    <row r="449">
      <c r="B449" s="87"/>
      <c r="C449" s="88"/>
      <c r="D449" s="88"/>
      <c r="E449" s="88"/>
      <c r="F449" s="88"/>
      <c r="G449" s="114"/>
    </row>
    <row r="450">
      <c r="B450" s="87"/>
      <c r="C450" s="88"/>
      <c r="D450" s="88"/>
      <c r="E450" s="88"/>
      <c r="F450" s="88"/>
      <c r="G450" s="114"/>
    </row>
    <row r="451">
      <c r="B451" s="87"/>
      <c r="C451" s="88"/>
      <c r="D451" s="88"/>
      <c r="E451" s="88"/>
      <c r="F451" s="88"/>
      <c r="G451" s="114"/>
    </row>
    <row r="452">
      <c r="B452" s="87"/>
      <c r="C452" s="88"/>
      <c r="D452" s="88"/>
      <c r="E452" s="88"/>
      <c r="F452" s="88"/>
      <c r="G452" s="114"/>
    </row>
    <row r="453">
      <c r="B453" s="87"/>
      <c r="C453" s="88"/>
      <c r="D453" s="88"/>
      <c r="E453" s="88"/>
      <c r="F453" s="88"/>
      <c r="G453" s="114"/>
    </row>
    <row r="454">
      <c r="B454" s="87"/>
      <c r="C454" s="88"/>
      <c r="D454" s="88"/>
      <c r="E454" s="88"/>
      <c r="F454" s="88"/>
      <c r="G454" s="114"/>
    </row>
    <row r="455">
      <c r="B455" s="87"/>
      <c r="C455" s="88"/>
      <c r="D455" s="88"/>
      <c r="E455" s="88"/>
      <c r="F455" s="88"/>
      <c r="G455" s="114"/>
    </row>
    <row r="456">
      <c r="B456" s="87"/>
      <c r="C456" s="88"/>
      <c r="D456" s="88"/>
      <c r="E456" s="88"/>
      <c r="F456" s="88"/>
      <c r="G456" s="114"/>
    </row>
    <row r="457">
      <c r="B457" s="87"/>
      <c r="C457" s="88"/>
      <c r="D457" s="88"/>
      <c r="E457" s="88"/>
      <c r="F457" s="88"/>
      <c r="G457" s="114"/>
    </row>
    <row r="458">
      <c r="B458" s="87"/>
      <c r="C458" s="88"/>
      <c r="D458" s="88"/>
      <c r="E458" s="88"/>
      <c r="F458" s="88"/>
      <c r="G458" s="114"/>
    </row>
    <row r="459">
      <c r="B459" s="87"/>
      <c r="C459" s="88"/>
      <c r="D459" s="88"/>
      <c r="E459" s="88"/>
      <c r="F459" s="88"/>
      <c r="G459" s="114"/>
    </row>
    <row r="460">
      <c r="B460" s="87"/>
      <c r="C460" s="88"/>
      <c r="D460" s="88"/>
      <c r="E460" s="88"/>
      <c r="F460" s="88"/>
      <c r="G460" s="114"/>
    </row>
    <row r="461">
      <c r="B461" s="87"/>
      <c r="C461" s="88"/>
      <c r="D461" s="88"/>
      <c r="E461" s="88"/>
      <c r="F461" s="88"/>
      <c r="G461" s="114"/>
    </row>
    <row r="462">
      <c r="B462" s="87"/>
      <c r="C462" s="88"/>
      <c r="D462" s="88"/>
      <c r="E462" s="88"/>
      <c r="F462" s="88"/>
      <c r="G462" s="114"/>
    </row>
    <row r="463">
      <c r="B463" s="87"/>
      <c r="C463" s="88"/>
      <c r="D463" s="88"/>
      <c r="E463" s="88"/>
      <c r="F463" s="88"/>
      <c r="G463" s="114"/>
    </row>
    <row r="464">
      <c r="B464" s="87"/>
      <c r="C464" s="88"/>
      <c r="D464" s="88"/>
      <c r="E464" s="88"/>
      <c r="F464" s="88"/>
      <c r="G464" s="114"/>
    </row>
    <row r="465">
      <c r="B465" s="87"/>
      <c r="C465" s="88"/>
      <c r="D465" s="88"/>
      <c r="E465" s="88"/>
      <c r="F465" s="88"/>
      <c r="G465" s="114"/>
    </row>
    <row r="466">
      <c r="B466" s="87"/>
      <c r="C466" s="88"/>
      <c r="D466" s="88"/>
      <c r="E466" s="88"/>
      <c r="F466" s="88"/>
      <c r="G466" s="114"/>
    </row>
    <row r="467">
      <c r="B467" s="87"/>
      <c r="C467" s="88"/>
      <c r="D467" s="88"/>
      <c r="E467" s="88"/>
      <c r="F467" s="88"/>
      <c r="G467" s="114"/>
    </row>
    <row r="468">
      <c r="B468" s="87"/>
      <c r="C468" s="88"/>
      <c r="D468" s="88"/>
      <c r="E468" s="88"/>
      <c r="F468" s="88"/>
      <c r="G468" s="114"/>
    </row>
    <row r="469">
      <c r="B469" s="87"/>
      <c r="C469" s="88"/>
      <c r="D469" s="88"/>
      <c r="E469" s="88"/>
      <c r="F469" s="88"/>
      <c r="G469" s="114"/>
    </row>
    <row r="470">
      <c r="B470" s="87"/>
      <c r="C470" s="88"/>
      <c r="D470" s="88"/>
      <c r="E470" s="88"/>
      <c r="F470" s="88"/>
      <c r="G470" s="114"/>
    </row>
    <row r="471">
      <c r="B471" s="87"/>
      <c r="C471" s="88"/>
      <c r="D471" s="88"/>
      <c r="E471" s="88"/>
      <c r="F471" s="88"/>
      <c r="G471" s="114"/>
    </row>
    <row r="472">
      <c r="B472" s="87"/>
      <c r="C472" s="88"/>
      <c r="D472" s="88"/>
      <c r="E472" s="88"/>
      <c r="F472" s="88"/>
      <c r="G472" s="114"/>
    </row>
    <row r="473">
      <c r="B473" s="87"/>
      <c r="C473" s="88"/>
      <c r="D473" s="88"/>
      <c r="E473" s="88"/>
      <c r="F473" s="88"/>
      <c r="G473" s="114"/>
    </row>
    <row r="474">
      <c r="B474" s="87"/>
      <c r="C474" s="88"/>
      <c r="D474" s="88"/>
      <c r="E474" s="88"/>
      <c r="F474" s="88"/>
      <c r="G474" s="114"/>
    </row>
    <row r="475">
      <c r="B475" s="87"/>
      <c r="C475" s="88"/>
      <c r="D475" s="88"/>
      <c r="E475" s="88"/>
      <c r="F475" s="88"/>
      <c r="G475" s="114"/>
    </row>
    <row r="476">
      <c r="B476" s="87"/>
      <c r="C476" s="88"/>
      <c r="D476" s="88"/>
      <c r="E476" s="88"/>
      <c r="F476" s="88"/>
      <c r="G476" s="114"/>
    </row>
    <row r="477">
      <c r="B477" s="87"/>
      <c r="C477" s="88"/>
      <c r="D477" s="88"/>
      <c r="E477" s="88"/>
      <c r="F477" s="88"/>
      <c r="G477" s="114"/>
    </row>
    <row r="478">
      <c r="B478" s="87"/>
      <c r="C478" s="88"/>
      <c r="D478" s="88"/>
      <c r="E478" s="88"/>
      <c r="F478" s="88"/>
      <c r="G478" s="114"/>
    </row>
    <row r="479">
      <c r="B479" s="87"/>
      <c r="C479" s="88"/>
      <c r="D479" s="88"/>
      <c r="E479" s="88"/>
      <c r="F479" s="88"/>
      <c r="G479" s="114"/>
    </row>
    <row r="480">
      <c r="B480" s="87"/>
      <c r="C480" s="88"/>
      <c r="D480" s="88"/>
      <c r="E480" s="88"/>
      <c r="F480" s="88"/>
      <c r="G480" s="114"/>
    </row>
    <row r="481">
      <c r="B481" s="87"/>
      <c r="C481" s="88"/>
      <c r="D481" s="88"/>
      <c r="E481" s="88"/>
      <c r="F481" s="88"/>
      <c r="G481" s="114"/>
    </row>
    <row r="482">
      <c r="B482" s="87"/>
      <c r="C482" s="88"/>
      <c r="D482" s="88"/>
      <c r="E482" s="88"/>
      <c r="F482" s="88"/>
      <c r="G482" s="114"/>
    </row>
    <row r="483">
      <c r="B483" s="87"/>
      <c r="C483" s="88"/>
      <c r="D483" s="88"/>
      <c r="E483" s="88"/>
      <c r="F483" s="88"/>
      <c r="G483" s="114"/>
    </row>
    <row r="484">
      <c r="B484" s="87"/>
      <c r="C484" s="88"/>
      <c r="D484" s="88"/>
      <c r="E484" s="88"/>
      <c r="F484" s="88"/>
      <c r="G484" s="114"/>
    </row>
    <row r="485">
      <c r="B485" s="87"/>
      <c r="C485" s="88"/>
      <c r="D485" s="88"/>
      <c r="E485" s="88"/>
      <c r="F485" s="88"/>
      <c r="G485" s="114"/>
    </row>
    <row r="486">
      <c r="B486" s="87"/>
      <c r="C486" s="88"/>
      <c r="D486" s="88"/>
      <c r="E486" s="88"/>
      <c r="F486" s="88"/>
      <c r="G486" s="114"/>
    </row>
    <row r="487">
      <c r="B487" s="87"/>
      <c r="C487" s="88"/>
      <c r="D487" s="88"/>
      <c r="E487" s="88"/>
      <c r="F487" s="88"/>
      <c r="G487" s="114"/>
    </row>
    <row r="488">
      <c r="B488" s="87"/>
      <c r="C488" s="88"/>
      <c r="D488" s="88"/>
      <c r="E488" s="88"/>
      <c r="F488" s="88"/>
      <c r="G488" s="114"/>
    </row>
    <row r="489">
      <c r="B489" s="87"/>
      <c r="C489" s="88"/>
      <c r="D489" s="88"/>
      <c r="E489" s="88"/>
      <c r="F489" s="88"/>
      <c r="G489" s="114"/>
    </row>
    <row r="490">
      <c r="B490" s="87"/>
      <c r="C490" s="88"/>
      <c r="D490" s="88"/>
      <c r="E490" s="88"/>
      <c r="F490" s="88"/>
      <c r="G490" s="114"/>
    </row>
    <row r="491">
      <c r="B491" s="87"/>
      <c r="C491" s="88"/>
      <c r="D491" s="88"/>
      <c r="E491" s="88"/>
      <c r="F491" s="88"/>
      <c r="G491" s="114"/>
    </row>
    <row r="492">
      <c r="B492" s="87"/>
      <c r="C492" s="88"/>
      <c r="D492" s="88"/>
      <c r="E492" s="88"/>
      <c r="F492" s="88"/>
      <c r="G492" s="114"/>
    </row>
    <row r="493">
      <c r="B493" s="87"/>
      <c r="C493" s="88"/>
      <c r="D493" s="88"/>
      <c r="E493" s="88"/>
      <c r="F493" s="88"/>
      <c r="G493" s="114"/>
    </row>
    <row r="494">
      <c r="B494" s="87"/>
      <c r="C494" s="88"/>
      <c r="D494" s="88"/>
      <c r="E494" s="88"/>
      <c r="F494" s="88"/>
      <c r="G494" s="114"/>
    </row>
    <row r="495">
      <c r="B495" s="87"/>
      <c r="C495" s="88"/>
      <c r="D495" s="88"/>
      <c r="E495" s="88"/>
      <c r="F495" s="88"/>
      <c r="G495" s="114"/>
    </row>
    <row r="496">
      <c r="B496" s="87"/>
      <c r="C496" s="88"/>
      <c r="D496" s="88"/>
      <c r="E496" s="88"/>
      <c r="F496" s="88"/>
      <c r="G496" s="114"/>
    </row>
    <row r="497">
      <c r="B497" s="87"/>
      <c r="C497" s="88"/>
      <c r="D497" s="88"/>
      <c r="E497" s="88"/>
      <c r="F497" s="88"/>
      <c r="G497" s="114"/>
    </row>
    <row r="498">
      <c r="B498" s="87"/>
      <c r="C498" s="88"/>
      <c r="D498" s="88"/>
      <c r="E498" s="88"/>
      <c r="F498" s="88"/>
      <c r="G498" s="114"/>
    </row>
    <row r="499">
      <c r="B499" s="87"/>
      <c r="C499" s="88"/>
      <c r="D499" s="88"/>
      <c r="E499" s="88"/>
      <c r="F499" s="88"/>
      <c r="G499" s="114"/>
    </row>
    <row r="500">
      <c r="B500" s="87"/>
      <c r="C500" s="88"/>
      <c r="D500" s="88"/>
      <c r="E500" s="88"/>
      <c r="F500" s="88"/>
      <c r="G500" s="114"/>
    </row>
    <row r="501">
      <c r="B501" s="87"/>
      <c r="C501" s="88"/>
      <c r="D501" s="88"/>
      <c r="E501" s="88"/>
      <c r="F501" s="88"/>
      <c r="G501" s="114"/>
    </row>
    <row r="502">
      <c r="B502" s="87"/>
      <c r="C502" s="88"/>
      <c r="D502" s="88"/>
      <c r="E502" s="88"/>
      <c r="F502" s="88"/>
      <c r="G502" s="114"/>
    </row>
    <row r="503">
      <c r="B503" s="87"/>
      <c r="C503" s="88"/>
      <c r="D503" s="88"/>
      <c r="E503" s="88"/>
      <c r="F503" s="88"/>
      <c r="G503" s="114"/>
    </row>
    <row r="504">
      <c r="B504" s="87"/>
      <c r="C504" s="88"/>
      <c r="D504" s="88"/>
      <c r="E504" s="88"/>
      <c r="F504" s="88"/>
      <c r="G504" s="114"/>
    </row>
    <row r="505">
      <c r="B505" s="87"/>
      <c r="C505" s="88"/>
      <c r="D505" s="88"/>
      <c r="E505" s="88"/>
      <c r="F505" s="88"/>
      <c r="G505" s="114"/>
    </row>
    <row r="506">
      <c r="B506" s="87"/>
      <c r="C506" s="88"/>
      <c r="D506" s="88"/>
      <c r="E506" s="88"/>
      <c r="F506" s="88"/>
      <c r="G506" s="114"/>
    </row>
    <row r="507">
      <c r="B507" s="87"/>
      <c r="C507" s="88"/>
      <c r="D507" s="88"/>
      <c r="E507" s="88"/>
      <c r="F507" s="88"/>
      <c r="G507" s="114"/>
    </row>
    <row r="508">
      <c r="B508" s="87"/>
      <c r="C508" s="88"/>
      <c r="D508" s="88"/>
      <c r="E508" s="88"/>
      <c r="F508" s="88"/>
      <c r="G508" s="114"/>
    </row>
    <row r="509">
      <c r="B509" s="87"/>
      <c r="C509" s="88"/>
      <c r="D509" s="88"/>
      <c r="E509" s="88"/>
      <c r="F509" s="88"/>
      <c r="G509" s="114"/>
    </row>
    <row r="510">
      <c r="B510" s="87"/>
      <c r="C510" s="88"/>
      <c r="D510" s="88"/>
      <c r="E510" s="88"/>
      <c r="F510" s="88"/>
      <c r="G510" s="114"/>
    </row>
    <row r="511">
      <c r="B511" s="87"/>
      <c r="C511" s="88"/>
      <c r="D511" s="88"/>
      <c r="E511" s="88"/>
      <c r="F511" s="88"/>
      <c r="G511" s="114"/>
    </row>
    <row r="512">
      <c r="B512" s="87"/>
      <c r="C512" s="88"/>
      <c r="D512" s="88"/>
      <c r="E512" s="88"/>
      <c r="F512" s="88"/>
      <c r="G512" s="114"/>
    </row>
    <row r="513">
      <c r="B513" s="87"/>
      <c r="C513" s="88"/>
      <c r="D513" s="88"/>
      <c r="E513" s="88"/>
      <c r="F513" s="88"/>
      <c r="G513" s="114"/>
    </row>
    <row r="514">
      <c r="B514" s="87"/>
      <c r="C514" s="88"/>
      <c r="D514" s="88"/>
      <c r="E514" s="88"/>
      <c r="F514" s="88"/>
      <c r="G514" s="114"/>
    </row>
    <row r="515">
      <c r="B515" s="87"/>
      <c r="C515" s="88"/>
      <c r="D515" s="88"/>
      <c r="E515" s="88"/>
      <c r="F515" s="88"/>
      <c r="G515" s="114"/>
    </row>
    <row r="516">
      <c r="B516" s="87"/>
      <c r="C516" s="88"/>
      <c r="D516" s="88"/>
      <c r="E516" s="88"/>
      <c r="F516" s="88"/>
      <c r="G516" s="114"/>
    </row>
    <row r="517">
      <c r="B517" s="87"/>
      <c r="C517" s="88"/>
      <c r="D517" s="88"/>
      <c r="E517" s="88"/>
      <c r="F517" s="88"/>
      <c r="G517" s="114"/>
    </row>
    <row r="518">
      <c r="B518" s="87"/>
      <c r="C518" s="88"/>
      <c r="D518" s="88"/>
      <c r="E518" s="88"/>
      <c r="F518" s="88"/>
      <c r="G518" s="114"/>
    </row>
    <row r="519">
      <c r="B519" s="87"/>
      <c r="C519" s="88"/>
      <c r="D519" s="88"/>
      <c r="E519" s="88"/>
      <c r="F519" s="88"/>
      <c r="G519" s="114"/>
    </row>
    <row r="520">
      <c r="B520" s="87"/>
      <c r="C520" s="88"/>
      <c r="D520" s="88"/>
      <c r="E520" s="88"/>
      <c r="F520" s="88"/>
      <c r="G520" s="114"/>
    </row>
    <row r="521">
      <c r="B521" s="87"/>
      <c r="C521" s="88"/>
      <c r="D521" s="88"/>
      <c r="E521" s="88"/>
      <c r="F521" s="88"/>
      <c r="G521" s="114"/>
    </row>
    <row r="522">
      <c r="B522" s="87"/>
      <c r="C522" s="88"/>
      <c r="D522" s="88"/>
      <c r="E522" s="88"/>
      <c r="F522" s="88"/>
      <c r="G522" s="114"/>
    </row>
    <row r="523">
      <c r="B523" s="87"/>
      <c r="C523" s="88"/>
      <c r="D523" s="88"/>
      <c r="E523" s="88"/>
      <c r="F523" s="88"/>
      <c r="G523" s="114"/>
    </row>
    <row r="524">
      <c r="B524" s="87"/>
      <c r="C524" s="88"/>
      <c r="D524" s="88"/>
      <c r="E524" s="88"/>
      <c r="F524" s="88"/>
      <c r="G524" s="114"/>
    </row>
    <row r="525">
      <c r="B525" s="87"/>
      <c r="C525" s="88"/>
      <c r="D525" s="88"/>
      <c r="E525" s="88"/>
      <c r="F525" s="88"/>
      <c r="G525" s="114"/>
    </row>
    <row r="526">
      <c r="B526" s="87"/>
      <c r="C526" s="88"/>
      <c r="D526" s="88"/>
      <c r="E526" s="88"/>
      <c r="F526" s="88"/>
      <c r="G526" s="114"/>
    </row>
    <row r="527">
      <c r="B527" s="87"/>
      <c r="C527" s="88"/>
      <c r="D527" s="88"/>
      <c r="E527" s="88"/>
      <c r="F527" s="88"/>
      <c r="G527" s="114"/>
    </row>
    <row r="528">
      <c r="B528" s="87"/>
      <c r="C528" s="88"/>
      <c r="D528" s="88"/>
      <c r="E528" s="88"/>
      <c r="F528" s="88"/>
      <c r="G528" s="114"/>
    </row>
    <row r="529">
      <c r="B529" s="87"/>
      <c r="C529" s="88"/>
      <c r="D529" s="88"/>
      <c r="E529" s="88"/>
      <c r="F529" s="88"/>
      <c r="G529" s="114"/>
    </row>
    <row r="530">
      <c r="B530" s="87"/>
      <c r="C530" s="88"/>
      <c r="D530" s="88"/>
      <c r="E530" s="88"/>
      <c r="F530" s="88"/>
      <c r="G530" s="114"/>
    </row>
    <row r="531">
      <c r="B531" s="87"/>
      <c r="C531" s="88"/>
      <c r="D531" s="88"/>
      <c r="E531" s="88"/>
      <c r="F531" s="88"/>
      <c r="G531" s="114"/>
    </row>
    <row r="532">
      <c r="B532" s="87"/>
      <c r="C532" s="88"/>
      <c r="D532" s="88"/>
      <c r="E532" s="88"/>
      <c r="F532" s="88"/>
      <c r="G532" s="114"/>
    </row>
    <row r="533">
      <c r="B533" s="87"/>
      <c r="C533" s="88"/>
      <c r="D533" s="88"/>
      <c r="E533" s="88"/>
      <c r="F533" s="88"/>
      <c r="G533" s="114"/>
    </row>
    <row r="534">
      <c r="B534" s="87"/>
      <c r="C534" s="88"/>
      <c r="D534" s="88"/>
      <c r="E534" s="88"/>
      <c r="F534" s="88"/>
      <c r="G534" s="114"/>
    </row>
    <row r="535">
      <c r="B535" s="87"/>
      <c r="C535" s="88"/>
      <c r="D535" s="88"/>
      <c r="E535" s="88"/>
      <c r="F535" s="88"/>
      <c r="G535" s="114"/>
    </row>
    <row r="536">
      <c r="B536" s="87"/>
      <c r="C536" s="88"/>
      <c r="D536" s="88"/>
      <c r="E536" s="88"/>
      <c r="F536" s="88"/>
      <c r="G536" s="114"/>
    </row>
    <row r="537">
      <c r="B537" s="87"/>
      <c r="C537" s="88"/>
      <c r="D537" s="88"/>
      <c r="E537" s="88"/>
      <c r="F537" s="88"/>
      <c r="G537" s="114"/>
    </row>
    <row r="538">
      <c r="B538" s="87"/>
      <c r="C538" s="88"/>
      <c r="D538" s="88"/>
      <c r="E538" s="88"/>
      <c r="F538" s="88"/>
      <c r="G538" s="114"/>
    </row>
    <row r="539">
      <c r="B539" s="87"/>
      <c r="C539" s="88"/>
      <c r="D539" s="88"/>
      <c r="E539" s="88"/>
      <c r="F539" s="88"/>
      <c r="G539" s="114"/>
    </row>
    <row r="540">
      <c r="B540" s="87"/>
      <c r="C540" s="88"/>
      <c r="D540" s="88"/>
      <c r="E540" s="88"/>
      <c r="F540" s="88"/>
      <c r="G540" s="114"/>
    </row>
    <row r="541">
      <c r="B541" s="87"/>
      <c r="C541" s="88"/>
      <c r="D541" s="88"/>
      <c r="E541" s="88"/>
      <c r="F541" s="88"/>
      <c r="G541" s="114"/>
    </row>
    <row r="542">
      <c r="B542" s="87"/>
      <c r="C542" s="88"/>
      <c r="D542" s="88"/>
      <c r="E542" s="88"/>
      <c r="F542" s="88"/>
      <c r="G542" s="114"/>
    </row>
    <row r="543">
      <c r="B543" s="87"/>
      <c r="C543" s="88"/>
      <c r="D543" s="88"/>
      <c r="E543" s="88"/>
      <c r="F543" s="88"/>
      <c r="G543" s="114"/>
    </row>
    <row r="544">
      <c r="B544" s="87"/>
      <c r="C544" s="88"/>
      <c r="D544" s="88"/>
      <c r="E544" s="88"/>
      <c r="F544" s="88"/>
      <c r="G544" s="114"/>
    </row>
    <row r="545">
      <c r="B545" s="87"/>
      <c r="C545" s="88"/>
      <c r="D545" s="88"/>
      <c r="E545" s="88"/>
      <c r="F545" s="88"/>
      <c r="G545" s="114"/>
    </row>
    <row r="546">
      <c r="B546" s="87"/>
      <c r="C546" s="88"/>
      <c r="D546" s="88"/>
      <c r="E546" s="88"/>
      <c r="F546" s="88"/>
      <c r="G546" s="114"/>
    </row>
    <row r="547">
      <c r="B547" s="87"/>
      <c r="C547" s="88"/>
      <c r="D547" s="88"/>
      <c r="E547" s="88"/>
      <c r="F547" s="88"/>
      <c r="G547" s="114"/>
    </row>
    <row r="548">
      <c r="B548" s="87"/>
      <c r="C548" s="88"/>
      <c r="D548" s="88"/>
      <c r="E548" s="88"/>
      <c r="F548" s="88"/>
      <c r="G548" s="114"/>
    </row>
    <row r="549">
      <c r="B549" s="87"/>
      <c r="C549" s="88"/>
      <c r="D549" s="88"/>
      <c r="E549" s="88"/>
      <c r="F549" s="88"/>
      <c r="G549" s="114"/>
    </row>
    <row r="550">
      <c r="B550" s="87"/>
      <c r="C550" s="88"/>
      <c r="D550" s="88"/>
      <c r="E550" s="88"/>
      <c r="F550" s="88"/>
      <c r="G550" s="114"/>
    </row>
    <row r="551">
      <c r="B551" s="87"/>
      <c r="C551" s="88"/>
      <c r="D551" s="88"/>
      <c r="E551" s="88"/>
      <c r="F551" s="88"/>
      <c r="G551" s="114"/>
    </row>
    <row r="552">
      <c r="B552" s="87"/>
      <c r="C552" s="88"/>
      <c r="D552" s="88"/>
      <c r="E552" s="88"/>
      <c r="F552" s="88"/>
      <c r="G552" s="114"/>
    </row>
    <row r="553">
      <c r="B553" s="87"/>
      <c r="C553" s="88"/>
      <c r="D553" s="88"/>
      <c r="E553" s="88"/>
      <c r="F553" s="88"/>
      <c r="G553" s="114"/>
    </row>
    <row r="554">
      <c r="B554" s="87"/>
      <c r="C554" s="88"/>
      <c r="D554" s="88"/>
      <c r="E554" s="88"/>
      <c r="F554" s="88"/>
      <c r="G554" s="114"/>
    </row>
    <row r="555">
      <c r="B555" s="87"/>
      <c r="C555" s="88"/>
      <c r="D555" s="88"/>
      <c r="E555" s="88"/>
      <c r="F555" s="88"/>
      <c r="G555" s="114"/>
    </row>
    <row r="556">
      <c r="B556" s="87"/>
      <c r="C556" s="88"/>
      <c r="D556" s="88"/>
      <c r="E556" s="88"/>
      <c r="F556" s="88"/>
      <c r="G556" s="114"/>
    </row>
    <row r="557">
      <c r="B557" s="87"/>
      <c r="C557" s="88"/>
      <c r="D557" s="88"/>
      <c r="E557" s="88"/>
      <c r="F557" s="88"/>
      <c r="G557" s="114"/>
    </row>
    <row r="558">
      <c r="B558" s="87"/>
      <c r="C558" s="88"/>
      <c r="D558" s="88"/>
      <c r="E558" s="88"/>
      <c r="F558" s="88"/>
      <c r="G558" s="114"/>
    </row>
    <row r="559">
      <c r="B559" s="87"/>
      <c r="C559" s="88"/>
      <c r="D559" s="88"/>
      <c r="E559" s="88"/>
      <c r="F559" s="88"/>
      <c r="G559" s="114"/>
    </row>
    <row r="560">
      <c r="B560" s="87"/>
      <c r="C560" s="88"/>
      <c r="D560" s="88"/>
      <c r="E560" s="88"/>
      <c r="F560" s="88"/>
      <c r="G560" s="114"/>
    </row>
    <row r="561">
      <c r="B561" s="87"/>
      <c r="C561" s="88"/>
      <c r="D561" s="88"/>
      <c r="E561" s="88"/>
      <c r="F561" s="88"/>
      <c r="G561" s="114"/>
    </row>
    <row r="562">
      <c r="B562" s="87"/>
      <c r="C562" s="88"/>
      <c r="D562" s="88"/>
      <c r="E562" s="88"/>
      <c r="F562" s="88"/>
      <c r="G562" s="114"/>
    </row>
    <row r="563">
      <c r="B563" s="87"/>
      <c r="C563" s="88"/>
      <c r="D563" s="88"/>
      <c r="E563" s="88"/>
      <c r="F563" s="88"/>
      <c r="G563" s="114"/>
    </row>
    <row r="564">
      <c r="B564" s="87"/>
      <c r="C564" s="88"/>
      <c r="D564" s="88"/>
      <c r="E564" s="88"/>
      <c r="F564" s="88"/>
      <c r="G564" s="114"/>
    </row>
    <row r="565">
      <c r="B565" s="87"/>
      <c r="C565" s="88"/>
      <c r="D565" s="88"/>
      <c r="E565" s="88"/>
      <c r="F565" s="88"/>
      <c r="G565" s="114"/>
    </row>
    <row r="566">
      <c r="B566" s="87"/>
      <c r="C566" s="88"/>
      <c r="D566" s="88"/>
      <c r="E566" s="88"/>
      <c r="F566" s="88"/>
      <c r="G566" s="114"/>
    </row>
    <row r="567">
      <c r="B567" s="87"/>
      <c r="C567" s="88"/>
      <c r="D567" s="88"/>
      <c r="E567" s="88"/>
      <c r="F567" s="88"/>
      <c r="G567" s="114"/>
    </row>
    <row r="568">
      <c r="B568" s="87"/>
      <c r="C568" s="88"/>
      <c r="D568" s="88"/>
      <c r="E568" s="88"/>
      <c r="F568" s="88"/>
      <c r="G568" s="114"/>
    </row>
    <row r="569">
      <c r="B569" s="87"/>
      <c r="C569" s="88"/>
      <c r="D569" s="88"/>
      <c r="E569" s="88"/>
      <c r="F569" s="88"/>
      <c r="G569" s="114"/>
    </row>
    <row r="570">
      <c r="B570" s="87"/>
      <c r="C570" s="88"/>
      <c r="D570" s="88"/>
      <c r="E570" s="88"/>
      <c r="F570" s="88"/>
      <c r="G570" s="114"/>
    </row>
    <row r="571">
      <c r="B571" s="87"/>
      <c r="C571" s="88"/>
      <c r="D571" s="88"/>
      <c r="E571" s="88"/>
      <c r="F571" s="88"/>
      <c r="G571" s="114"/>
    </row>
    <row r="572">
      <c r="B572" s="87"/>
      <c r="C572" s="88"/>
      <c r="D572" s="88"/>
      <c r="E572" s="88"/>
      <c r="F572" s="88"/>
      <c r="G572" s="114"/>
    </row>
    <row r="573">
      <c r="B573" s="87"/>
      <c r="C573" s="88"/>
      <c r="D573" s="88"/>
      <c r="E573" s="88"/>
      <c r="F573" s="88"/>
      <c r="G573" s="114"/>
    </row>
    <row r="574">
      <c r="B574" s="87"/>
      <c r="C574" s="88"/>
      <c r="D574" s="88"/>
      <c r="E574" s="88"/>
      <c r="F574" s="88"/>
      <c r="G574" s="114"/>
    </row>
    <row r="575">
      <c r="B575" s="87"/>
      <c r="C575" s="88"/>
      <c r="D575" s="88"/>
      <c r="E575" s="88"/>
      <c r="F575" s="88"/>
      <c r="G575" s="114"/>
    </row>
    <row r="576">
      <c r="B576" s="87"/>
      <c r="C576" s="88"/>
      <c r="D576" s="88"/>
      <c r="E576" s="88"/>
      <c r="F576" s="88"/>
      <c r="G576" s="114"/>
    </row>
    <row r="577">
      <c r="B577" s="87"/>
      <c r="C577" s="88"/>
      <c r="D577" s="88"/>
      <c r="E577" s="88"/>
      <c r="F577" s="88"/>
      <c r="G577" s="114"/>
    </row>
    <row r="578">
      <c r="B578" s="87"/>
      <c r="C578" s="88"/>
      <c r="D578" s="88"/>
      <c r="E578" s="88"/>
      <c r="F578" s="88"/>
      <c r="G578" s="114"/>
    </row>
    <row r="579">
      <c r="B579" s="87"/>
      <c r="C579" s="88"/>
      <c r="D579" s="88"/>
      <c r="E579" s="88"/>
      <c r="F579" s="88"/>
      <c r="G579" s="114"/>
    </row>
    <row r="580">
      <c r="B580" s="87"/>
      <c r="C580" s="88"/>
      <c r="D580" s="88"/>
      <c r="E580" s="88"/>
      <c r="F580" s="88"/>
      <c r="G580" s="114"/>
    </row>
    <row r="581">
      <c r="B581" s="87"/>
      <c r="C581" s="88"/>
      <c r="D581" s="88"/>
      <c r="E581" s="88"/>
      <c r="F581" s="88"/>
      <c r="G581" s="114"/>
    </row>
    <row r="582">
      <c r="B582" s="87"/>
      <c r="C582" s="88"/>
      <c r="D582" s="88"/>
      <c r="E582" s="88"/>
      <c r="F582" s="88"/>
      <c r="G582" s="114"/>
    </row>
    <row r="583">
      <c r="B583" s="87"/>
      <c r="C583" s="88"/>
      <c r="D583" s="88"/>
      <c r="E583" s="88"/>
      <c r="F583" s="88"/>
      <c r="G583" s="114"/>
    </row>
    <row r="584">
      <c r="B584" s="87"/>
      <c r="C584" s="88"/>
      <c r="D584" s="88"/>
      <c r="E584" s="88"/>
      <c r="F584" s="88"/>
      <c r="G584" s="114"/>
    </row>
    <row r="585">
      <c r="B585" s="87"/>
      <c r="C585" s="88"/>
      <c r="D585" s="88"/>
      <c r="E585" s="88"/>
      <c r="F585" s="88"/>
      <c r="G585" s="114"/>
    </row>
    <row r="586">
      <c r="B586" s="87"/>
      <c r="C586" s="88"/>
      <c r="D586" s="88"/>
      <c r="E586" s="88"/>
      <c r="F586" s="88"/>
      <c r="G586" s="114"/>
    </row>
    <row r="587">
      <c r="B587" s="87"/>
      <c r="C587" s="88"/>
      <c r="D587" s="88"/>
      <c r="E587" s="88"/>
      <c r="F587" s="88"/>
      <c r="G587" s="114"/>
    </row>
    <row r="588">
      <c r="B588" s="87"/>
      <c r="C588" s="88"/>
      <c r="D588" s="88"/>
      <c r="E588" s="88"/>
      <c r="F588" s="88"/>
      <c r="G588" s="114"/>
    </row>
    <row r="589">
      <c r="B589" s="87"/>
      <c r="C589" s="88"/>
      <c r="D589" s="88"/>
      <c r="E589" s="88"/>
      <c r="F589" s="88"/>
      <c r="G589" s="114"/>
    </row>
    <row r="590">
      <c r="B590" s="87"/>
      <c r="C590" s="88"/>
      <c r="D590" s="88"/>
      <c r="E590" s="88"/>
      <c r="F590" s="88"/>
      <c r="G590" s="114"/>
    </row>
    <row r="591">
      <c r="B591" s="87"/>
      <c r="C591" s="88"/>
      <c r="D591" s="88"/>
      <c r="E591" s="88"/>
      <c r="F591" s="88"/>
      <c r="G591" s="114"/>
    </row>
    <row r="592">
      <c r="B592" s="87"/>
      <c r="C592" s="88"/>
      <c r="D592" s="88"/>
      <c r="E592" s="88"/>
      <c r="F592" s="88"/>
      <c r="G592" s="114"/>
    </row>
    <row r="593">
      <c r="B593" s="87"/>
      <c r="C593" s="88"/>
      <c r="D593" s="88"/>
      <c r="E593" s="88"/>
      <c r="F593" s="88"/>
      <c r="G593" s="114"/>
    </row>
    <row r="594">
      <c r="B594" s="87"/>
      <c r="C594" s="88"/>
      <c r="D594" s="88"/>
      <c r="E594" s="88"/>
      <c r="F594" s="88"/>
      <c r="G594" s="114"/>
    </row>
    <row r="595">
      <c r="B595" s="87"/>
      <c r="C595" s="88"/>
      <c r="D595" s="88"/>
      <c r="E595" s="88"/>
      <c r="F595" s="88"/>
      <c r="G595" s="114"/>
    </row>
    <row r="596">
      <c r="B596" s="87"/>
      <c r="C596" s="88"/>
      <c r="D596" s="88"/>
      <c r="E596" s="88"/>
      <c r="F596" s="88"/>
      <c r="G596" s="114"/>
    </row>
    <row r="597">
      <c r="B597" s="87"/>
      <c r="C597" s="88"/>
      <c r="D597" s="88"/>
      <c r="E597" s="88"/>
      <c r="F597" s="88"/>
      <c r="G597" s="114"/>
    </row>
    <row r="598">
      <c r="B598" s="87"/>
      <c r="C598" s="88"/>
      <c r="D598" s="88"/>
      <c r="E598" s="88"/>
      <c r="F598" s="88"/>
      <c r="G598" s="114"/>
    </row>
    <row r="599">
      <c r="B599" s="87"/>
      <c r="C599" s="88"/>
      <c r="D599" s="88"/>
      <c r="E599" s="88"/>
      <c r="F599" s="88"/>
      <c r="G599" s="114"/>
    </row>
    <row r="600">
      <c r="B600" s="87"/>
      <c r="C600" s="88"/>
      <c r="D600" s="88"/>
      <c r="E600" s="88"/>
      <c r="F600" s="88"/>
      <c r="G600" s="114"/>
    </row>
    <row r="601">
      <c r="B601" s="87"/>
      <c r="C601" s="88"/>
      <c r="D601" s="88"/>
      <c r="E601" s="88"/>
      <c r="F601" s="88"/>
      <c r="G601" s="114"/>
    </row>
    <row r="602">
      <c r="B602" s="87"/>
      <c r="C602" s="88"/>
      <c r="D602" s="88"/>
      <c r="E602" s="88"/>
      <c r="F602" s="88"/>
      <c r="G602" s="114"/>
    </row>
    <row r="603">
      <c r="B603" s="87"/>
      <c r="C603" s="88"/>
      <c r="D603" s="88"/>
      <c r="E603" s="88"/>
      <c r="F603" s="88"/>
      <c r="G603" s="114"/>
    </row>
    <row r="604">
      <c r="B604" s="87"/>
      <c r="C604" s="88"/>
      <c r="D604" s="88"/>
      <c r="E604" s="88"/>
      <c r="F604" s="88"/>
      <c r="G604" s="114"/>
    </row>
    <row r="605">
      <c r="B605" s="87"/>
      <c r="C605" s="88"/>
      <c r="D605" s="88"/>
      <c r="E605" s="88"/>
      <c r="F605" s="88"/>
      <c r="G605" s="114"/>
    </row>
    <row r="606">
      <c r="B606" s="87"/>
      <c r="C606" s="88"/>
      <c r="D606" s="88"/>
      <c r="E606" s="88"/>
      <c r="F606" s="88"/>
      <c r="G606" s="114"/>
    </row>
    <row r="607">
      <c r="B607" s="87"/>
      <c r="C607" s="88"/>
      <c r="D607" s="88"/>
      <c r="E607" s="88"/>
      <c r="F607" s="88"/>
      <c r="G607" s="114"/>
    </row>
    <row r="608">
      <c r="B608" s="87"/>
      <c r="C608" s="88"/>
      <c r="D608" s="88"/>
      <c r="E608" s="88"/>
      <c r="F608" s="88"/>
      <c r="G608" s="114"/>
    </row>
    <row r="609">
      <c r="B609" s="87"/>
      <c r="C609" s="88"/>
      <c r="D609" s="88"/>
      <c r="E609" s="88"/>
      <c r="F609" s="88"/>
      <c r="G609" s="114"/>
    </row>
    <row r="610">
      <c r="B610" s="87"/>
      <c r="C610" s="88"/>
      <c r="D610" s="88"/>
      <c r="E610" s="88"/>
      <c r="F610" s="88"/>
      <c r="G610" s="114"/>
    </row>
    <row r="611">
      <c r="B611" s="87"/>
      <c r="C611" s="88"/>
      <c r="D611" s="88"/>
      <c r="E611" s="88"/>
      <c r="F611" s="88"/>
      <c r="G611" s="114"/>
    </row>
    <row r="612">
      <c r="B612" s="87"/>
      <c r="C612" s="88"/>
      <c r="D612" s="88"/>
      <c r="E612" s="88"/>
      <c r="F612" s="88"/>
      <c r="G612" s="114"/>
    </row>
    <row r="613">
      <c r="B613" s="87"/>
      <c r="C613" s="88"/>
      <c r="D613" s="88"/>
      <c r="E613" s="88"/>
      <c r="F613" s="88"/>
      <c r="G613" s="114"/>
    </row>
    <row r="614">
      <c r="B614" s="87"/>
      <c r="C614" s="88"/>
      <c r="D614" s="88"/>
      <c r="E614" s="88"/>
      <c r="F614" s="88"/>
      <c r="G614" s="114"/>
    </row>
    <row r="615">
      <c r="B615" s="87"/>
      <c r="C615" s="88"/>
      <c r="D615" s="88"/>
      <c r="E615" s="88"/>
      <c r="F615" s="88"/>
      <c r="G615" s="114"/>
    </row>
    <row r="616">
      <c r="B616" s="87"/>
      <c r="C616" s="88"/>
      <c r="D616" s="88"/>
      <c r="E616" s="88"/>
      <c r="F616" s="88"/>
      <c r="G616" s="114"/>
    </row>
    <row r="617">
      <c r="B617" s="87"/>
      <c r="C617" s="88"/>
      <c r="D617" s="88"/>
      <c r="E617" s="88"/>
      <c r="F617" s="88"/>
      <c r="G617" s="114"/>
    </row>
    <row r="618">
      <c r="B618" s="87"/>
      <c r="C618" s="88"/>
      <c r="D618" s="88"/>
      <c r="E618" s="88"/>
      <c r="F618" s="88"/>
      <c r="G618" s="114"/>
    </row>
    <row r="619">
      <c r="B619" s="87"/>
      <c r="C619" s="88"/>
      <c r="D619" s="88"/>
      <c r="E619" s="88"/>
      <c r="F619" s="88"/>
      <c r="G619" s="114"/>
    </row>
    <row r="620">
      <c r="B620" s="87"/>
      <c r="C620" s="88"/>
      <c r="D620" s="88"/>
      <c r="E620" s="88"/>
      <c r="F620" s="88"/>
      <c r="G620" s="114"/>
    </row>
    <row r="621">
      <c r="B621" s="87"/>
      <c r="C621" s="88"/>
      <c r="D621" s="88"/>
      <c r="E621" s="88"/>
      <c r="F621" s="88"/>
      <c r="G621" s="114"/>
    </row>
    <row r="622">
      <c r="B622" s="87"/>
      <c r="C622" s="88"/>
      <c r="D622" s="88"/>
      <c r="E622" s="88"/>
      <c r="F622" s="88"/>
      <c r="G622" s="114"/>
    </row>
    <row r="623">
      <c r="B623" s="87"/>
      <c r="C623" s="88"/>
      <c r="D623" s="88"/>
      <c r="E623" s="88"/>
      <c r="F623" s="88"/>
      <c r="G623" s="114"/>
    </row>
    <row r="624">
      <c r="B624" s="87"/>
      <c r="C624" s="88"/>
      <c r="D624" s="88"/>
      <c r="E624" s="88"/>
      <c r="F624" s="88"/>
      <c r="G624" s="114"/>
    </row>
    <row r="625">
      <c r="B625" s="87"/>
      <c r="C625" s="88"/>
      <c r="D625" s="88"/>
      <c r="E625" s="88"/>
      <c r="F625" s="88"/>
      <c r="G625" s="114"/>
    </row>
    <row r="626">
      <c r="B626" s="87"/>
      <c r="C626" s="88"/>
      <c r="D626" s="88"/>
      <c r="E626" s="88"/>
      <c r="F626" s="88"/>
      <c r="G626" s="114"/>
    </row>
    <row r="627">
      <c r="B627" s="87"/>
      <c r="C627" s="88"/>
      <c r="D627" s="88"/>
      <c r="E627" s="88"/>
      <c r="F627" s="88"/>
      <c r="G627" s="114"/>
    </row>
    <row r="628">
      <c r="B628" s="87"/>
      <c r="C628" s="88"/>
      <c r="D628" s="88"/>
      <c r="E628" s="88"/>
      <c r="F628" s="88"/>
      <c r="G628" s="114"/>
    </row>
    <row r="629">
      <c r="B629" s="87"/>
      <c r="C629" s="88"/>
      <c r="D629" s="88"/>
      <c r="E629" s="88"/>
      <c r="F629" s="88"/>
      <c r="G629" s="114"/>
    </row>
    <row r="630">
      <c r="B630" s="87"/>
      <c r="C630" s="88"/>
      <c r="D630" s="88"/>
      <c r="E630" s="88"/>
      <c r="F630" s="88"/>
      <c r="G630" s="114"/>
    </row>
    <row r="631">
      <c r="B631" s="87"/>
      <c r="C631" s="88"/>
      <c r="D631" s="88"/>
      <c r="E631" s="88"/>
      <c r="F631" s="88"/>
      <c r="G631" s="114"/>
    </row>
    <row r="632">
      <c r="B632" s="87"/>
      <c r="C632" s="88"/>
      <c r="D632" s="88"/>
      <c r="E632" s="88"/>
      <c r="F632" s="88"/>
      <c r="G632" s="114"/>
    </row>
    <row r="633">
      <c r="B633" s="87"/>
      <c r="C633" s="88"/>
      <c r="D633" s="88"/>
      <c r="E633" s="88"/>
      <c r="F633" s="88"/>
      <c r="G633" s="114"/>
    </row>
    <row r="634">
      <c r="B634" s="87"/>
      <c r="C634" s="88"/>
      <c r="D634" s="88"/>
      <c r="E634" s="88"/>
      <c r="F634" s="88"/>
      <c r="G634" s="114"/>
    </row>
    <row r="635">
      <c r="B635" s="87"/>
      <c r="C635" s="88"/>
      <c r="D635" s="88"/>
      <c r="E635" s="88"/>
      <c r="F635" s="88"/>
      <c r="G635" s="114"/>
    </row>
    <row r="636">
      <c r="B636" s="87"/>
      <c r="C636" s="88"/>
      <c r="D636" s="88"/>
      <c r="E636" s="88"/>
      <c r="F636" s="88"/>
      <c r="G636" s="114"/>
    </row>
    <row r="637">
      <c r="B637" s="87"/>
      <c r="C637" s="88"/>
      <c r="D637" s="88"/>
      <c r="E637" s="88"/>
      <c r="F637" s="88"/>
      <c r="G637" s="114"/>
    </row>
    <row r="638">
      <c r="B638" s="87"/>
      <c r="C638" s="88"/>
      <c r="D638" s="88"/>
      <c r="E638" s="88"/>
      <c r="F638" s="88"/>
      <c r="G638" s="114"/>
    </row>
    <row r="639">
      <c r="B639" s="87"/>
      <c r="C639" s="88"/>
      <c r="D639" s="88"/>
      <c r="E639" s="88"/>
      <c r="F639" s="88"/>
      <c r="G639" s="114"/>
    </row>
    <row r="640">
      <c r="B640" s="87"/>
      <c r="C640" s="88"/>
      <c r="D640" s="88"/>
      <c r="E640" s="88"/>
      <c r="F640" s="88"/>
      <c r="G640" s="114"/>
    </row>
    <row r="641">
      <c r="B641" s="87"/>
      <c r="C641" s="88"/>
      <c r="D641" s="88"/>
      <c r="E641" s="88"/>
      <c r="F641" s="88"/>
      <c r="G641" s="114"/>
    </row>
    <row r="642">
      <c r="B642" s="87"/>
      <c r="C642" s="88"/>
      <c r="D642" s="88"/>
      <c r="E642" s="88"/>
      <c r="F642" s="88"/>
      <c r="G642" s="114"/>
    </row>
    <row r="643">
      <c r="B643" s="87"/>
      <c r="C643" s="88"/>
      <c r="D643" s="88"/>
      <c r="E643" s="88"/>
      <c r="F643" s="88"/>
      <c r="G643" s="114"/>
    </row>
    <row r="644">
      <c r="B644" s="87"/>
      <c r="C644" s="88"/>
      <c r="D644" s="88"/>
      <c r="E644" s="88"/>
      <c r="F644" s="88"/>
      <c r="G644" s="114"/>
    </row>
    <row r="645">
      <c r="B645" s="87"/>
      <c r="C645" s="88"/>
      <c r="D645" s="88"/>
      <c r="E645" s="88"/>
      <c r="F645" s="88"/>
      <c r="G645" s="114"/>
    </row>
    <row r="646">
      <c r="B646" s="87"/>
      <c r="C646" s="88"/>
      <c r="D646" s="88"/>
      <c r="E646" s="88"/>
      <c r="F646" s="88"/>
      <c r="G646" s="114"/>
    </row>
    <row r="647">
      <c r="B647" s="87"/>
      <c r="C647" s="88"/>
      <c r="D647" s="88"/>
      <c r="E647" s="88"/>
      <c r="F647" s="88"/>
      <c r="G647" s="114"/>
    </row>
    <row r="648">
      <c r="B648" s="87"/>
      <c r="C648" s="88"/>
      <c r="D648" s="88"/>
      <c r="E648" s="88"/>
      <c r="F648" s="88"/>
      <c r="G648" s="114"/>
    </row>
    <row r="649">
      <c r="B649" s="87"/>
      <c r="C649" s="88"/>
      <c r="D649" s="88"/>
      <c r="E649" s="88"/>
      <c r="F649" s="88"/>
      <c r="G649" s="114"/>
    </row>
    <row r="650">
      <c r="B650" s="87"/>
      <c r="C650" s="88"/>
      <c r="D650" s="88"/>
      <c r="E650" s="88"/>
      <c r="F650" s="88"/>
      <c r="G650" s="114"/>
    </row>
    <row r="651">
      <c r="B651" s="87"/>
      <c r="C651" s="88"/>
      <c r="D651" s="88"/>
      <c r="E651" s="88"/>
      <c r="F651" s="88"/>
      <c r="G651" s="114"/>
    </row>
    <row r="652">
      <c r="B652" s="87"/>
      <c r="C652" s="88"/>
      <c r="D652" s="88"/>
      <c r="E652" s="88"/>
      <c r="F652" s="88"/>
      <c r="G652" s="114"/>
    </row>
    <row r="653">
      <c r="B653" s="87"/>
      <c r="C653" s="88"/>
      <c r="D653" s="88"/>
      <c r="E653" s="88"/>
      <c r="F653" s="88"/>
      <c r="G653" s="114"/>
    </row>
    <row r="654">
      <c r="B654" s="87"/>
      <c r="C654" s="88"/>
      <c r="D654" s="88"/>
      <c r="E654" s="88"/>
      <c r="F654" s="88"/>
      <c r="G654" s="114"/>
    </row>
    <row r="655">
      <c r="B655" s="87"/>
      <c r="C655" s="88"/>
      <c r="D655" s="88"/>
      <c r="E655" s="88"/>
      <c r="F655" s="88"/>
      <c r="G655" s="114"/>
    </row>
    <row r="656">
      <c r="B656" s="87"/>
      <c r="C656" s="88"/>
      <c r="D656" s="88"/>
      <c r="E656" s="88"/>
      <c r="F656" s="88"/>
      <c r="G656" s="114"/>
    </row>
    <row r="657">
      <c r="B657" s="87"/>
      <c r="C657" s="88"/>
      <c r="D657" s="88"/>
      <c r="E657" s="88"/>
      <c r="F657" s="88"/>
      <c r="G657" s="114"/>
    </row>
    <row r="658">
      <c r="B658" s="87"/>
      <c r="C658" s="88"/>
      <c r="D658" s="88"/>
      <c r="E658" s="88"/>
      <c r="F658" s="88"/>
      <c r="G658" s="114"/>
    </row>
    <row r="659">
      <c r="B659" s="87"/>
      <c r="C659" s="88"/>
      <c r="D659" s="88"/>
      <c r="E659" s="88"/>
      <c r="F659" s="88"/>
      <c r="G659" s="114"/>
    </row>
    <row r="660">
      <c r="B660" s="87"/>
      <c r="C660" s="88"/>
      <c r="D660" s="88"/>
      <c r="E660" s="88"/>
      <c r="F660" s="88"/>
      <c r="G660" s="114"/>
    </row>
    <row r="661">
      <c r="B661" s="87"/>
      <c r="C661" s="88"/>
      <c r="D661" s="88"/>
      <c r="E661" s="88"/>
      <c r="F661" s="88"/>
      <c r="G661" s="114"/>
    </row>
    <row r="662">
      <c r="B662" s="87"/>
      <c r="C662" s="88"/>
      <c r="D662" s="88"/>
      <c r="E662" s="88"/>
      <c r="F662" s="88"/>
      <c r="G662" s="114"/>
    </row>
    <row r="663">
      <c r="B663" s="87"/>
      <c r="C663" s="88"/>
      <c r="D663" s="88"/>
      <c r="E663" s="88"/>
      <c r="F663" s="88"/>
      <c r="G663" s="114"/>
    </row>
    <row r="664">
      <c r="B664" s="87"/>
      <c r="C664" s="88"/>
      <c r="D664" s="88"/>
      <c r="E664" s="88"/>
      <c r="F664" s="88"/>
      <c r="G664" s="114"/>
    </row>
    <row r="665">
      <c r="B665" s="87"/>
      <c r="C665" s="88"/>
      <c r="D665" s="88"/>
      <c r="E665" s="88"/>
      <c r="F665" s="88"/>
      <c r="G665" s="114"/>
    </row>
    <row r="666">
      <c r="B666" s="87"/>
      <c r="C666" s="88"/>
      <c r="D666" s="88"/>
      <c r="E666" s="88"/>
      <c r="F666" s="88"/>
      <c r="G666" s="114"/>
    </row>
    <row r="667">
      <c r="B667" s="87"/>
      <c r="C667" s="88"/>
      <c r="D667" s="88"/>
      <c r="E667" s="88"/>
      <c r="F667" s="88"/>
      <c r="G667" s="114"/>
    </row>
    <row r="668">
      <c r="B668" s="87"/>
      <c r="C668" s="88"/>
      <c r="D668" s="88"/>
      <c r="E668" s="88"/>
      <c r="F668" s="88"/>
      <c r="G668" s="114"/>
    </row>
    <row r="669">
      <c r="B669" s="87"/>
      <c r="C669" s="88"/>
      <c r="D669" s="88"/>
      <c r="E669" s="88"/>
      <c r="F669" s="88"/>
      <c r="G669" s="114"/>
    </row>
    <row r="670">
      <c r="B670" s="87"/>
      <c r="C670" s="88"/>
      <c r="D670" s="88"/>
      <c r="E670" s="88"/>
      <c r="F670" s="88"/>
      <c r="G670" s="114"/>
    </row>
    <row r="671">
      <c r="B671" s="87"/>
      <c r="C671" s="88"/>
      <c r="D671" s="88"/>
      <c r="E671" s="88"/>
      <c r="F671" s="88"/>
      <c r="G671" s="114"/>
    </row>
    <row r="672">
      <c r="B672" s="87"/>
      <c r="C672" s="88"/>
      <c r="D672" s="88"/>
      <c r="E672" s="88"/>
      <c r="F672" s="88"/>
      <c r="G672" s="114"/>
    </row>
    <row r="673">
      <c r="B673" s="87"/>
      <c r="C673" s="88"/>
      <c r="D673" s="88"/>
      <c r="E673" s="88"/>
      <c r="F673" s="88"/>
      <c r="G673" s="114"/>
    </row>
    <row r="674">
      <c r="B674" s="87"/>
      <c r="C674" s="88"/>
      <c r="D674" s="88"/>
      <c r="E674" s="88"/>
      <c r="F674" s="88"/>
      <c r="G674" s="114"/>
    </row>
    <row r="675">
      <c r="B675" s="87"/>
      <c r="C675" s="88"/>
      <c r="D675" s="88"/>
      <c r="E675" s="88"/>
      <c r="F675" s="88"/>
      <c r="G675" s="114"/>
    </row>
    <row r="676">
      <c r="B676" s="87"/>
      <c r="C676" s="88"/>
      <c r="D676" s="88"/>
      <c r="E676" s="88"/>
      <c r="F676" s="88"/>
      <c r="G676" s="114"/>
    </row>
    <row r="677">
      <c r="B677" s="87"/>
      <c r="C677" s="88"/>
      <c r="D677" s="88"/>
      <c r="E677" s="88"/>
      <c r="F677" s="88"/>
      <c r="G677" s="114"/>
    </row>
    <row r="678">
      <c r="B678" s="87"/>
      <c r="C678" s="88"/>
      <c r="D678" s="88"/>
      <c r="E678" s="88"/>
      <c r="F678" s="88"/>
      <c r="G678" s="114"/>
    </row>
    <row r="679">
      <c r="B679" s="87"/>
      <c r="C679" s="88"/>
      <c r="D679" s="88"/>
      <c r="E679" s="88"/>
      <c r="F679" s="88"/>
      <c r="G679" s="114"/>
    </row>
    <row r="680">
      <c r="B680" s="87"/>
      <c r="C680" s="88"/>
      <c r="D680" s="88"/>
      <c r="E680" s="88"/>
      <c r="F680" s="88"/>
      <c r="G680" s="114"/>
    </row>
    <row r="681">
      <c r="B681" s="87"/>
      <c r="C681" s="88"/>
      <c r="D681" s="88"/>
      <c r="E681" s="88"/>
      <c r="F681" s="88"/>
      <c r="G681" s="114"/>
    </row>
    <row r="682">
      <c r="B682" s="87"/>
      <c r="C682" s="88"/>
      <c r="D682" s="88"/>
      <c r="E682" s="88"/>
      <c r="F682" s="88"/>
      <c r="G682" s="114"/>
    </row>
    <row r="683">
      <c r="B683" s="87"/>
      <c r="C683" s="88"/>
      <c r="D683" s="88"/>
      <c r="E683" s="88"/>
      <c r="F683" s="88"/>
      <c r="G683" s="114"/>
    </row>
    <row r="684">
      <c r="B684" s="87"/>
      <c r="C684" s="88"/>
      <c r="D684" s="88"/>
      <c r="E684" s="88"/>
      <c r="F684" s="88"/>
      <c r="G684" s="114"/>
    </row>
    <row r="685">
      <c r="B685" s="87"/>
      <c r="C685" s="88"/>
      <c r="D685" s="88"/>
      <c r="E685" s="88"/>
      <c r="F685" s="88"/>
      <c r="G685" s="114"/>
    </row>
    <row r="686">
      <c r="B686" s="87"/>
      <c r="C686" s="88"/>
      <c r="D686" s="88"/>
      <c r="E686" s="88"/>
      <c r="F686" s="88"/>
      <c r="G686" s="114"/>
    </row>
    <row r="687">
      <c r="B687" s="87"/>
      <c r="C687" s="88"/>
      <c r="D687" s="88"/>
      <c r="E687" s="88"/>
      <c r="F687" s="88"/>
      <c r="G687" s="114"/>
    </row>
    <row r="688">
      <c r="B688" s="87"/>
      <c r="C688" s="88"/>
      <c r="D688" s="88"/>
      <c r="E688" s="88"/>
      <c r="F688" s="88"/>
      <c r="G688" s="114"/>
    </row>
    <row r="689">
      <c r="B689" s="87"/>
      <c r="C689" s="88"/>
      <c r="D689" s="88"/>
      <c r="E689" s="88"/>
      <c r="F689" s="88"/>
      <c r="G689" s="114"/>
    </row>
    <row r="690">
      <c r="B690" s="87"/>
      <c r="C690" s="88"/>
      <c r="D690" s="88"/>
      <c r="E690" s="88"/>
      <c r="F690" s="88"/>
      <c r="G690" s="114"/>
    </row>
    <row r="691">
      <c r="B691" s="87"/>
      <c r="C691" s="88"/>
      <c r="D691" s="88"/>
      <c r="E691" s="88"/>
      <c r="F691" s="88"/>
      <c r="G691" s="114"/>
    </row>
    <row r="692">
      <c r="B692" s="87"/>
      <c r="C692" s="88"/>
      <c r="D692" s="88"/>
      <c r="E692" s="88"/>
      <c r="F692" s="88"/>
      <c r="G692" s="114"/>
    </row>
    <row r="693">
      <c r="B693" s="87"/>
      <c r="C693" s="88"/>
      <c r="D693" s="88"/>
      <c r="E693" s="88"/>
      <c r="F693" s="88"/>
      <c r="G693" s="114"/>
    </row>
    <row r="694">
      <c r="B694" s="87"/>
      <c r="C694" s="88"/>
      <c r="D694" s="88"/>
      <c r="E694" s="88"/>
      <c r="F694" s="88"/>
      <c r="G694" s="114"/>
    </row>
    <row r="695">
      <c r="B695" s="87"/>
      <c r="C695" s="88"/>
      <c r="D695" s="88"/>
      <c r="E695" s="88"/>
      <c r="F695" s="88"/>
      <c r="G695" s="114"/>
    </row>
    <row r="696">
      <c r="B696" s="87"/>
      <c r="C696" s="88"/>
      <c r="D696" s="88"/>
      <c r="E696" s="88"/>
      <c r="F696" s="88"/>
      <c r="G696" s="114"/>
    </row>
    <row r="697">
      <c r="B697" s="87"/>
      <c r="C697" s="88"/>
      <c r="D697" s="88"/>
      <c r="E697" s="88"/>
      <c r="F697" s="88"/>
      <c r="G697" s="114"/>
    </row>
    <row r="698">
      <c r="B698" s="87"/>
      <c r="C698" s="88"/>
      <c r="D698" s="88"/>
      <c r="E698" s="88"/>
      <c r="F698" s="88"/>
      <c r="G698" s="114"/>
    </row>
    <row r="699">
      <c r="B699" s="87"/>
      <c r="C699" s="88"/>
      <c r="D699" s="88"/>
      <c r="E699" s="88"/>
      <c r="F699" s="88"/>
      <c r="G699" s="114"/>
    </row>
    <row r="700">
      <c r="B700" s="87"/>
      <c r="C700" s="88"/>
      <c r="D700" s="88"/>
      <c r="E700" s="88"/>
      <c r="F700" s="88"/>
      <c r="G700" s="114"/>
    </row>
    <row r="701">
      <c r="B701" s="87"/>
      <c r="C701" s="88"/>
      <c r="D701" s="88"/>
      <c r="E701" s="88"/>
      <c r="F701" s="88"/>
      <c r="G701" s="114"/>
    </row>
    <row r="702">
      <c r="B702" s="87"/>
      <c r="C702" s="88"/>
      <c r="D702" s="88"/>
      <c r="E702" s="88"/>
      <c r="F702" s="88"/>
      <c r="G702" s="114"/>
    </row>
    <row r="703">
      <c r="B703" s="87"/>
      <c r="C703" s="88"/>
      <c r="D703" s="88"/>
      <c r="E703" s="88"/>
      <c r="F703" s="88"/>
      <c r="G703" s="114"/>
    </row>
    <row r="704">
      <c r="B704" s="87"/>
      <c r="C704" s="88"/>
      <c r="D704" s="88"/>
      <c r="E704" s="88"/>
      <c r="F704" s="88"/>
      <c r="G704" s="114"/>
    </row>
    <row r="705">
      <c r="B705" s="87"/>
      <c r="C705" s="88"/>
      <c r="D705" s="88"/>
      <c r="E705" s="88"/>
      <c r="F705" s="88"/>
      <c r="G705" s="114"/>
    </row>
    <row r="706">
      <c r="B706" s="87"/>
      <c r="C706" s="88"/>
      <c r="D706" s="88"/>
      <c r="E706" s="88"/>
      <c r="F706" s="88"/>
      <c r="G706" s="114"/>
    </row>
    <row r="707">
      <c r="B707" s="87"/>
      <c r="C707" s="88"/>
      <c r="D707" s="88"/>
      <c r="E707" s="88"/>
      <c r="F707" s="88"/>
      <c r="G707" s="114"/>
    </row>
    <row r="708">
      <c r="B708" s="87"/>
      <c r="C708" s="88"/>
      <c r="D708" s="88"/>
      <c r="E708" s="88"/>
      <c r="F708" s="88"/>
      <c r="G708" s="114"/>
    </row>
    <row r="709">
      <c r="B709" s="87"/>
      <c r="C709" s="88"/>
      <c r="D709" s="88"/>
      <c r="E709" s="88"/>
      <c r="F709" s="88"/>
      <c r="G709" s="114"/>
    </row>
    <row r="710">
      <c r="B710" s="87"/>
      <c r="C710" s="88"/>
      <c r="D710" s="88"/>
      <c r="E710" s="88"/>
      <c r="F710" s="88"/>
      <c r="G710" s="114"/>
    </row>
    <row r="711">
      <c r="B711" s="87"/>
      <c r="C711" s="88"/>
      <c r="D711" s="88"/>
      <c r="E711" s="88"/>
      <c r="F711" s="88"/>
      <c r="G711" s="114"/>
    </row>
    <row r="712">
      <c r="B712" s="87"/>
      <c r="C712" s="88"/>
      <c r="D712" s="88"/>
      <c r="E712" s="88"/>
      <c r="F712" s="88"/>
      <c r="G712" s="114"/>
    </row>
    <row r="713">
      <c r="B713" s="87"/>
      <c r="C713" s="88"/>
      <c r="D713" s="88"/>
      <c r="E713" s="88"/>
      <c r="F713" s="88"/>
      <c r="G713" s="114"/>
    </row>
    <row r="714">
      <c r="B714" s="87"/>
      <c r="C714" s="88"/>
      <c r="D714" s="88"/>
      <c r="E714" s="88"/>
      <c r="F714" s="88"/>
      <c r="G714" s="114"/>
    </row>
    <row r="715">
      <c r="B715" s="87"/>
      <c r="C715" s="88"/>
      <c r="D715" s="88"/>
      <c r="E715" s="88"/>
      <c r="F715" s="88"/>
      <c r="G715" s="114"/>
    </row>
    <row r="716">
      <c r="B716" s="87"/>
      <c r="C716" s="88"/>
      <c r="D716" s="88"/>
      <c r="E716" s="88"/>
      <c r="F716" s="88"/>
      <c r="G716" s="114"/>
    </row>
    <row r="717">
      <c r="B717" s="87"/>
      <c r="C717" s="88"/>
      <c r="D717" s="88"/>
      <c r="E717" s="88"/>
      <c r="F717" s="88"/>
      <c r="G717" s="114"/>
    </row>
    <row r="718">
      <c r="B718" s="87"/>
      <c r="C718" s="88"/>
      <c r="D718" s="88"/>
      <c r="E718" s="88"/>
      <c r="F718" s="88"/>
      <c r="G718" s="114"/>
    </row>
    <row r="719">
      <c r="B719" s="87"/>
      <c r="C719" s="88"/>
      <c r="D719" s="88"/>
      <c r="E719" s="88"/>
      <c r="F719" s="88"/>
      <c r="G719" s="114"/>
    </row>
    <row r="720">
      <c r="B720" s="87"/>
      <c r="C720" s="88"/>
      <c r="D720" s="88"/>
      <c r="E720" s="88"/>
      <c r="F720" s="88"/>
      <c r="G720" s="114"/>
    </row>
    <row r="721">
      <c r="B721" s="87"/>
      <c r="C721" s="88"/>
      <c r="D721" s="88"/>
      <c r="E721" s="88"/>
      <c r="F721" s="88"/>
      <c r="G721" s="114"/>
    </row>
    <row r="722">
      <c r="B722" s="87"/>
      <c r="C722" s="88"/>
      <c r="D722" s="88"/>
      <c r="E722" s="88"/>
      <c r="F722" s="88"/>
      <c r="G722" s="114"/>
    </row>
    <row r="723">
      <c r="B723" s="87"/>
      <c r="C723" s="88"/>
      <c r="D723" s="88"/>
      <c r="E723" s="88"/>
      <c r="F723" s="88"/>
      <c r="G723" s="114"/>
    </row>
    <row r="724">
      <c r="B724" s="87"/>
      <c r="C724" s="88"/>
      <c r="D724" s="88"/>
      <c r="E724" s="88"/>
      <c r="F724" s="88"/>
      <c r="G724" s="114"/>
    </row>
    <row r="725">
      <c r="B725" s="87"/>
      <c r="C725" s="88"/>
      <c r="D725" s="88"/>
      <c r="E725" s="88"/>
      <c r="F725" s="88"/>
      <c r="G725" s="114"/>
    </row>
    <row r="726">
      <c r="B726" s="87"/>
      <c r="C726" s="88"/>
      <c r="D726" s="88"/>
      <c r="E726" s="88"/>
      <c r="F726" s="88"/>
      <c r="G726" s="114"/>
    </row>
    <row r="727">
      <c r="B727" s="87"/>
      <c r="C727" s="88"/>
      <c r="D727" s="88"/>
      <c r="E727" s="88"/>
      <c r="F727" s="88"/>
      <c r="G727" s="114"/>
    </row>
    <row r="728">
      <c r="B728" s="87"/>
      <c r="C728" s="88"/>
      <c r="D728" s="88"/>
      <c r="E728" s="88"/>
      <c r="F728" s="88"/>
      <c r="G728" s="114"/>
    </row>
    <row r="729">
      <c r="B729" s="87"/>
      <c r="C729" s="88"/>
      <c r="D729" s="88"/>
      <c r="E729" s="88"/>
      <c r="F729" s="88"/>
      <c r="G729" s="114"/>
    </row>
    <row r="730">
      <c r="B730" s="87"/>
      <c r="C730" s="88"/>
      <c r="D730" s="88"/>
      <c r="E730" s="88"/>
      <c r="F730" s="88"/>
      <c r="G730" s="114"/>
    </row>
    <row r="731">
      <c r="B731" s="87"/>
      <c r="C731" s="88"/>
      <c r="D731" s="88"/>
      <c r="E731" s="88"/>
      <c r="F731" s="88"/>
      <c r="G731" s="114"/>
    </row>
    <row r="732">
      <c r="B732" s="87"/>
      <c r="C732" s="88"/>
      <c r="D732" s="88"/>
      <c r="E732" s="88"/>
      <c r="F732" s="88"/>
      <c r="G732" s="114"/>
    </row>
    <row r="733">
      <c r="B733" s="87"/>
      <c r="C733" s="88"/>
      <c r="D733" s="88"/>
      <c r="E733" s="88"/>
      <c r="F733" s="88"/>
      <c r="G733" s="114"/>
    </row>
    <row r="734">
      <c r="B734" s="87"/>
      <c r="C734" s="88"/>
      <c r="D734" s="88"/>
      <c r="E734" s="88"/>
      <c r="F734" s="88"/>
      <c r="G734" s="114"/>
    </row>
    <row r="735">
      <c r="B735" s="87"/>
      <c r="C735" s="88"/>
      <c r="D735" s="88"/>
      <c r="E735" s="88"/>
      <c r="F735" s="88"/>
      <c r="G735" s="114"/>
    </row>
    <row r="736">
      <c r="B736" s="87"/>
      <c r="C736" s="88"/>
      <c r="D736" s="88"/>
      <c r="E736" s="88"/>
      <c r="F736" s="88"/>
      <c r="G736" s="114"/>
    </row>
    <row r="737">
      <c r="B737" s="87"/>
      <c r="C737" s="88"/>
      <c r="D737" s="88"/>
      <c r="E737" s="88"/>
      <c r="F737" s="88"/>
      <c r="G737" s="114"/>
    </row>
    <row r="738">
      <c r="B738" s="87"/>
      <c r="C738" s="88"/>
      <c r="D738" s="88"/>
      <c r="E738" s="88"/>
      <c r="F738" s="88"/>
      <c r="G738" s="114"/>
    </row>
    <row r="739">
      <c r="B739" s="87"/>
      <c r="C739" s="88"/>
      <c r="D739" s="88"/>
      <c r="E739" s="88"/>
      <c r="F739" s="88"/>
      <c r="G739" s="114"/>
    </row>
    <row r="740">
      <c r="B740" s="87"/>
      <c r="C740" s="88"/>
      <c r="D740" s="88"/>
      <c r="E740" s="88"/>
      <c r="F740" s="88"/>
      <c r="G740" s="114"/>
    </row>
    <row r="741">
      <c r="B741" s="87"/>
      <c r="C741" s="88"/>
      <c r="D741" s="88"/>
      <c r="E741" s="88"/>
      <c r="F741" s="88"/>
      <c r="G741" s="114"/>
    </row>
    <row r="742">
      <c r="B742" s="87"/>
      <c r="C742" s="88"/>
      <c r="D742" s="88"/>
      <c r="E742" s="88"/>
      <c r="F742" s="88"/>
      <c r="G742" s="114"/>
    </row>
    <row r="743">
      <c r="B743" s="87"/>
      <c r="C743" s="88"/>
      <c r="D743" s="88"/>
      <c r="E743" s="88"/>
      <c r="F743" s="88"/>
      <c r="G743" s="114"/>
    </row>
    <row r="744">
      <c r="B744" s="87"/>
      <c r="C744" s="88"/>
      <c r="D744" s="88"/>
      <c r="E744" s="88"/>
      <c r="F744" s="88"/>
      <c r="G744" s="114"/>
    </row>
    <row r="745">
      <c r="B745" s="87"/>
      <c r="C745" s="88"/>
      <c r="D745" s="88"/>
      <c r="E745" s="88"/>
      <c r="F745" s="88"/>
      <c r="G745" s="114"/>
    </row>
    <row r="746">
      <c r="B746" s="87"/>
      <c r="C746" s="88"/>
      <c r="D746" s="88"/>
      <c r="E746" s="88"/>
      <c r="F746" s="88"/>
      <c r="G746" s="114"/>
    </row>
    <row r="747">
      <c r="B747" s="87"/>
      <c r="C747" s="88"/>
      <c r="D747" s="88"/>
      <c r="E747" s="88"/>
      <c r="F747" s="88"/>
      <c r="G747" s="114"/>
    </row>
    <row r="748">
      <c r="B748" s="87"/>
      <c r="C748" s="88"/>
      <c r="D748" s="88"/>
      <c r="E748" s="88"/>
      <c r="F748" s="88"/>
      <c r="G748" s="114"/>
    </row>
    <row r="749">
      <c r="B749" s="87"/>
      <c r="C749" s="88"/>
      <c r="D749" s="88"/>
      <c r="E749" s="88"/>
      <c r="F749" s="88"/>
      <c r="G749" s="114"/>
    </row>
    <row r="750">
      <c r="B750" s="87"/>
      <c r="C750" s="88"/>
      <c r="D750" s="88"/>
      <c r="E750" s="88"/>
      <c r="F750" s="88"/>
      <c r="G750" s="114"/>
    </row>
    <row r="751">
      <c r="B751" s="87"/>
      <c r="C751" s="88"/>
      <c r="D751" s="88"/>
      <c r="E751" s="88"/>
      <c r="F751" s="88"/>
      <c r="G751" s="114"/>
    </row>
    <row r="752">
      <c r="B752" s="87"/>
      <c r="C752" s="88"/>
      <c r="D752" s="88"/>
      <c r="E752" s="88"/>
      <c r="F752" s="88"/>
      <c r="G752" s="114"/>
    </row>
    <row r="753">
      <c r="B753" s="87"/>
      <c r="C753" s="88"/>
      <c r="D753" s="88"/>
      <c r="E753" s="88"/>
      <c r="F753" s="88"/>
      <c r="G753" s="114"/>
    </row>
    <row r="754">
      <c r="B754" s="87"/>
      <c r="C754" s="88"/>
      <c r="D754" s="88"/>
      <c r="E754" s="88"/>
      <c r="F754" s="88"/>
      <c r="G754" s="114"/>
    </row>
    <row r="755">
      <c r="B755" s="87"/>
      <c r="C755" s="88"/>
      <c r="D755" s="88"/>
      <c r="E755" s="88"/>
      <c r="F755" s="88"/>
      <c r="G755" s="114"/>
    </row>
    <row r="756">
      <c r="B756" s="87"/>
      <c r="C756" s="88"/>
      <c r="D756" s="88"/>
      <c r="E756" s="88"/>
      <c r="F756" s="88"/>
      <c r="G756" s="114"/>
    </row>
    <row r="757">
      <c r="B757" s="87"/>
      <c r="C757" s="88"/>
      <c r="D757" s="88"/>
      <c r="E757" s="88"/>
      <c r="F757" s="88"/>
      <c r="G757" s="114"/>
    </row>
    <row r="758">
      <c r="B758" s="87"/>
      <c r="C758" s="88"/>
      <c r="D758" s="88"/>
      <c r="E758" s="88"/>
      <c r="F758" s="88"/>
      <c r="G758" s="114"/>
    </row>
    <row r="759">
      <c r="B759" s="87"/>
      <c r="C759" s="88"/>
      <c r="D759" s="88"/>
      <c r="E759" s="88"/>
      <c r="F759" s="88"/>
      <c r="G759" s="114"/>
    </row>
    <row r="760">
      <c r="B760" s="87"/>
      <c r="C760" s="88"/>
      <c r="D760" s="88"/>
      <c r="E760" s="88"/>
      <c r="F760" s="88"/>
      <c r="G760" s="114"/>
    </row>
    <row r="761">
      <c r="B761" s="87"/>
      <c r="C761" s="88"/>
      <c r="D761" s="88"/>
      <c r="E761" s="88"/>
      <c r="F761" s="88"/>
      <c r="G761" s="114"/>
    </row>
    <row r="762">
      <c r="B762" s="87"/>
      <c r="C762" s="88"/>
      <c r="D762" s="88"/>
      <c r="E762" s="88"/>
      <c r="F762" s="88"/>
      <c r="G762" s="114"/>
    </row>
    <row r="763">
      <c r="B763" s="87"/>
      <c r="C763" s="88"/>
      <c r="D763" s="88"/>
      <c r="E763" s="88"/>
      <c r="F763" s="88"/>
      <c r="G763" s="114"/>
    </row>
    <row r="764">
      <c r="B764" s="87"/>
      <c r="C764" s="88"/>
      <c r="D764" s="88"/>
      <c r="E764" s="88"/>
      <c r="F764" s="88"/>
      <c r="G764" s="114"/>
    </row>
    <row r="765">
      <c r="B765" s="87"/>
      <c r="C765" s="88"/>
      <c r="D765" s="88"/>
      <c r="E765" s="88"/>
      <c r="F765" s="88"/>
      <c r="G765" s="114"/>
    </row>
    <row r="766">
      <c r="B766" s="87"/>
      <c r="C766" s="88"/>
      <c r="D766" s="88"/>
      <c r="E766" s="88"/>
      <c r="F766" s="88"/>
      <c r="G766" s="114"/>
    </row>
    <row r="767">
      <c r="B767" s="87"/>
      <c r="C767" s="88"/>
      <c r="D767" s="88"/>
      <c r="E767" s="88"/>
      <c r="F767" s="88"/>
      <c r="G767" s="114"/>
    </row>
    <row r="768">
      <c r="B768" s="87"/>
      <c r="C768" s="88"/>
      <c r="D768" s="88"/>
      <c r="E768" s="88"/>
      <c r="F768" s="88"/>
      <c r="G768" s="114"/>
    </row>
    <row r="769">
      <c r="B769" s="87"/>
      <c r="C769" s="88"/>
      <c r="D769" s="88"/>
      <c r="E769" s="88"/>
      <c r="F769" s="88"/>
      <c r="G769" s="114"/>
    </row>
    <row r="770">
      <c r="B770" s="87"/>
      <c r="C770" s="88"/>
      <c r="D770" s="88"/>
      <c r="E770" s="88"/>
      <c r="F770" s="88"/>
      <c r="G770" s="114"/>
    </row>
    <row r="771">
      <c r="B771" s="87"/>
      <c r="C771" s="88"/>
      <c r="D771" s="88"/>
      <c r="E771" s="88"/>
      <c r="F771" s="88"/>
      <c r="G771" s="114"/>
    </row>
    <row r="772">
      <c r="B772" s="87"/>
      <c r="C772" s="88"/>
      <c r="D772" s="88"/>
      <c r="E772" s="88"/>
      <c r="F772" s="88"/>
      <c r="G772" s="114"/>
    </row>
    <row r="773">
      <c r="B773" s="87"/>
      <c r="C773" s="88"/>
      <c r="D773" s="88"/>
      <c r="E773" s="88"/>
      <c r="F773" s="88"/>
      <c r="G773" s="114"/>
    </row>
    <row r="774">
      <c r="B774" s="87"/>
      <c r="C774" s="88"/>
      <c r="D774" s="88"/>
      <c r="E774" s="88"/>
      <c r="F774" s="88"/>
      <c r="G774" s="114"/>
    </row>
    <row r="775">
      <c r="B775" s="87"/>
      <c r="C775" s="88"/>
      <c r="D775" s="88"/>
      <c r="E775" s="88"/>
      <c r="F775" s="88"/>
      <c r="G775" s="114"/>
    </row>
    <row r="776">
      <c r="B776" s="87"/>
      <c r="C776" s="88"/>
      <c r="D776" s="88"/>
      <c r="E776" s="88"/>
      <c r="F776" s="88"/>
      <c r="G776" s="114"/>
    </row>
    <row r="777">
      <c r="B777" s="87"/>
      <c r="C777" s="88"/>
      <c r="D777" s="88"/>
      <c r="E777" s="88"/>
      <c r="F777" s="88"/>
      <c r="G777" s="114"/>
    </row>
    <row r="778">
      <c r="B778" s="87"/>
      <c r="C778" s="88"/>
      <c r="D778" s="88"/>
      <c r="E778" s="88"/>
      <c r="F778" s="88"/>
      <c r="G778" s="114"/>
    </row>
    <row r="779">
      <c r="B779" s="87"/>
      <c r="C779" s="88"/>
      <c r="D779" s="88"/>
      <c r="E779" s="88"/>
      <c r="F779" s="88"/>
      <c r="G779" s="114"/>
    </row>
    <row r="780">
      <c r="B780" s="87"/>
      <c r="C780" s="88"/>
      <c r="D780" s="88"/>
      <c r="E780" s="88"/>
      <c r="F780" s="88"/>
      <c r="G780" s="114"/>
    </row>
    <row r="781">
      <c r="B781" s="87"/>
      <c r="C781" s="88"/>
      <c r="D781" s="88"/>
      <c r="E781" s="88"/>
      <c r="F781" s="88"/>
      <c r="G781" s="114"/>
    </row>
    <row r="782">
      <c r="B782" s="87"/>
      <c r="C782" s="88"/>
      <c r="D782" s="88"/>
      <c r="E782" s="88"/>
      <c r="F782" s="88"/>
      <c r="G782" s="114"/>
    </row>
    <row r="783">
      <c r="B783" s="87"/>
      <c r="C783" s="88"/>
      <c r="D783" s="88"/>
      <c r="E783" s="88"/>
      <c r="F783" s="88"/>
      <c r="G783" s="114"/>
    </row>
    <row r="784">
      <c r="B784" s="87"/>
      <c r="C784" s="88"/>
      <c r="D784" s="88"/>
      <c r="E784" s="88"/>
      <c r="F784" s="88"/>
      <c r="G784" s="114"/>
    </row>
    <row r="785">
      <c r="B785" s="87"/>
      <c r="C785" s="88"/>
      <c r="D785" s="88"/>
      <c r="E785" s="88"/>
      <c r="F785" s="88"/>
      <c r="G785" s="114"/>
    </row>
    <row r="786">
      <c r="B786" s="87"/>
      <c r="C786" s="88"/>
      <c r="D786" s="88"/>
      <c r="E786" s="88"/>
      <c r="F786" s="88"/>
      <c r="G786" s="114"/>
    </row>
    <row r="787">
      <c r="B787" s="87"/>
      <c r="C787" s="88"/>
      <c r="D787" s="88"/>
      <c r="E787" s="88"/>
      <c r="F787" s="88"/>
      <c r="G787" s="114"/>
    </row>
    <row r="788">
      <c r="B788" s="87"/>
      <c r="C788" s="88"/>
      <c r="D788" s="88"/>
      <c r="E788" s="88"/>
      <c r="F788" s="88"/>
      <c r="G788" s="114"/>
    </row>
    <row r="789">
      <c r="B789" s="87"/>
      <c r="C789" s="88"/>
      <c r="D789" s="88"/>
      <c r="E789" s="88"/>
      <c r="F789" s="88"/>
      <c r="G789" s="114"/>
    </row>
    <row r="790">
      <c r="B790" s="87"/>
      <c r="C790" s="88"/>
      <c r="D790" s="88"/>
      <c r="E790" s="88"/>
      <c r="F790" s="88"/>
      <c r="G790" s="114"/>
    </row>
    <row r="791">
      <c r="B791" s="87"/>
      <c r="C791" s="88"/>
      <c r="D791" s="88"/>
      <c r="E791" s="88"/>
      <c r="F791" s="88"/>
      <c r="G791" s="114"/>
    </row>
    <row r="792">
      <c r="B792" s="87"/>
      <c r="C792" s="88"/>
      <c r="D792" s="88"/>
      <c r="E792" s="88"/>
      <c r="F792" s="88"/>
      <c r="G792" s="114"/>
    </row>
    <row r="793">
      <c r="B793" s="87"/>
      <c r="C793" s="88"/>
      <c r="D793" s="88"/>
      <c r="E793" s="88"/>
      <c r="F793" s="88"/>
      <c r="G793" s="114"/>
    </row>
    <row r="794">
      <c r="B794" s="87"/>
      <c r="C794" s="88"/>
      <c r="D794" s="88"/>
      <c r="E794" s="88"/>
      <c r="F794" s="88"/>
      <c r="G794" s="114"/>
    </row>
    <row r="795">
      <c r="B795" s="87"/>
      <c r="C795" s="88"/>
      <c r="D795" s="88"/>
      <c r="E795" s="88"/>
      <c r="F795" s="88"/>
      <c r="G795" s="114"/>
    </row>
    <row r="796">
      <c r="B796" s="87"/>
      <c r="C796" s="88"/>
      <c r="D796" s="88"/>
      <c r="E796" s="88"/>
      <c r="F796" s="88"/>
      <c r="G796" s="114"/>
    </row>
    <row r="797">
      <c r="B797" s="87"/>
      <c r="C797" s="88"/>
      <c r="D797" s="88"/>
      <c r="E797" s="88"/>
      <c r="F797" s="88"/>
      <c r="G797" s="114"/>
    </row>
    <row r="798">
      <c r="B798" s="87"/>
      <c r="C798" s="88"/>
      <c r="D798" s="88"/>
      <c r="E798" s="88"/>
      <c r="F798" s="88"/>
      <c r="G798" s="114"/>
    </row>
    <row r="799">
      <c r="B799" s="87"/>
      <c r="C799" s="88"/>
      <c r="D799" s="88"/>
      <c r="E799" s="88"/>
      <c r="F799" s="88"/>
      <c r="G799" s="114"/>
    </row>
    <row r="800">
      <c r="B800" s="87"/>
      <c r="C800" s="88"/>
      <c r="D800" s="88"/>
      <c r="E800" s="88"/>
      <c r="F800" s="88"/>
      <c r="G800" s="114"/>
    </row>
    <row r="801">
      <c r="B801" s="87"/>
      <c r="C801" s="88"/>
      <c r="D801" s="88"/>
      <c r="E801" s="88"/>
      <c r="F801" s="88"/>
      <c r="G801" s="114"/>
    </row>
    <row r="802">
      <c r="B802" s="87"/>
      <c r="C802" s="88"/>
      <c r="D802" s="88"/>
      <c r="E802" s="88"/>
      <c r="F802" s="88"/>
      <c r="G802" s="114"/>
    </row>
    <row r="803">
      <c r="B803" s="87"/>
      <c r="C803" s="88"/>
      <c r="D803" s="88"/>
      <c r="E803" s="88"/>
      <c r="F803" s="88"/>
      <c r="G803" s="114"/>
    </row>
    <row r="804">
      <c r="B804" s="87"/>
      <c r="C804" s="88"/>
      <c r="D804" s="88"/>
      <c r="E804" s="88"/>
      <c r="F804" s="88"/>
      <c r="G804" s="114"/>
    </row>
    <row r="805">
      <c r="B805" s="87"/>
      <c r="C805" s="88"/>
      <c r="D805" s="88"/>
      <c r="E805" s="88"/>
      <c r="F805" s="88"/>
      <c r="G805" s="114"/>
    </row>
    <row r="806">
      <c r="B806" s="87"/>
      <c r="C806" s="88"/>
      <c r="D806" s="88"/>
      <c r="E806" s="88"/>
      <c r="F806" s="88"/>
      <c r="G806" s="114"/>
    </row>
    <row r="807">
      <c r="B807" s="87"/>
      <c r="C807" s="88"/>
      <c r="D807" s="88"/>
      <c r="E807" s="88"/>
      <c r="F807" s="88"/>
      <c r="G807" s="114"/>
    </row>
    <row r="808">
      <c r="B808" s="87"/>
      <c r="C808" s="88"/>
      <c r="D808" s="88"/>
      <c r="E808" s="88"/>
      <c r="F808" s="88"/>
      <c r="G808" s="114"/>
    </row>
    <row r="809">
      <c r="B809" s="87"/>
      <c r="C809" s="88"/>
      <c r="D809" s="88"/>
      <c r="E809" s="88"/>
      <c r="F809" s="88"/>
      <c r="G809" s="114"/>
    </row>
    <row r="810">
      <c r="B810" s="87"/>
      <c r="C810" s="88"/>
      <c r="D810" s="88"/>
      <c r="E810" s="88"/>
      <c r="F810" s="88"/>
      <c r="G810" s="114"/>
    </row>
    <row r="811">
      <c r="B811" s="87"/>
      <c r="C811" s="88"/>
      <c r="D811" s="88"/>
      <c r="E811" s="88"/>
      <c r="F811" s="88"/>
      <c r="G811" s="114"/>
    </row>
    <row r="812">
      <c r="B812" s="87"/>
      <c r="C812" s="88"/>
      <c r="D812" s="88"/>
      <c r="E812" s="88"/>
      <c r="F812" s="88"/>
      <c r="G812" s="114"/>
    </row>
    <row r="813">
      <c r="B813" s="87"/>
      <c r="C813" s="88"/>
      <c r="D813" s="88"/>
      <c r="E813" s="88"/>
      <c r="F813" s="88"/>
      <c r="G813" s="114"/>
    </row>
    <row r="814">
      <c r="B814" s="87"/>
      <c r="C814" s="88"/>
      <c r="D814" s="88"/>
      <c r="E814" s="88"/>
      <c r="F814" s="88"/>
      <c r="G814" s="114"/>
    </row>
    <row r="815">
      <c r="B815" s="87"/>
      <c r="C815" s="88"/>
      <c r="D815" s="88"/>
      <c r="E815" s="88"/>
      <c r="F815" s="88"/>
      <c r="G815" s="114"/>
    </row>
    <row r="816">
      <c r="B816" s="87"/>
      <c r="C816" s="88"/>
      <c r="D816" s="88"/>
      <c r="E816" s="88"/>
      <c r="F816" s="88"/>
      <c r="G816" s="114"/>
    </row>
    <row r="817">
      <c r="B817" s="87"/>
      <c r="C817" s="88"/>
      <c r="D817" s="88"/>
      <c r="E817" s="88"/>
      <c r="F817" s="88"/>
      <c r="G817" s="114"/>
    </row>
    <row r="818">
      <c r="B818" s="87"/>
      <c r="C818" s="88"/>
      <c r="D818" s="88"/>
      <c r="E818" s="88"/>
      <c r="F818" s="88"/>
      <c r="G818" s="114"/>
    </row>
    <row r="819">
      <c r="B819" s="87"/>
      <c r="C819" s="88"/>
      <c r="D819" s="88"/>
      <c r="E819" s="88"/>
      <c r="F819" s="88"/>
      <c r="G819" s="114"/>
    </row>
    <row r="820">
      <c r="B820" s="87"/>
      <c r="C820" s="88"/>
      <c r="D820" s="88"/>
      <c r="E820" s="88"/>
      <c r="F820" s="88"/>
      <c r="G820" s="114"/>
    </row>
    <row r="821">
      <c r="B821" s="87"/>
      <c r="C821" s="88"/>
      <c r="D821" s="88"/>
      <c r="E821" s="88"/>
      <c r="F821" s="88"/>
      <c r="G821" s="114"/>
    </row>
    <row r="822">
      <c r="B822" s="87"/>
      <c r="C822" s="88"/>
      <c r="D822" s="88"/>
      <c r="E822" s="88"/>
      <c r="F822" s="88"/>
      <c r="G822" s="114"/>
    </row>
    <row r="823">
      <c r="B823" s="87"/>
      <c r="C823" s="88"/>
      <c r="D823" s="88"/>
      <c r="E823" s="88"/>
      <c r="F823" s="88"/>
      <c r="G823" s="114"/>
    </row>
    <row r="824">
      <c r="B824" s="87"/>
      <c r="C824" s="88"/>
      <c r="D824" s="88"/>
      <c r="E824" s="88"/>
      <c r="F824" s="88"/>
      <c r="G824" s="114"/>
    </row>
    <row r="825">
      <c r="B825" s="87"/>
      <c r="C825" s="88"/>
      <c r="D825" s="88"/>
      <c r="E825" s="88"/>
      <c r="F825" s="88"/>
      <c r="G825" s="114"/>
    </row>
    <row r="826">
      <c r="B826" s="87"/>
      <c r="C826" s="88"/>
      <c r="D826" s="88"/>
      <c r="E826" s="88"/>
      <c r="F826" s="88"/>
      <c r="G826" s="114"/>
    </row>
    <row r="827">
      <c r="B827" s="87"/>
      <c r="C827" s="88"/>
      <c r="D827" s="88"/>
      <c r="E827" s="88"/>
      <c r="F827" s="88"/>
      <c r="G827" s="114"/>
    </row>
    <row r="828">
      <c r="B828" s="87"/>
      <c r="C828" s="88"/>
      <c r="D828" s="88"/>
      <c r="E828" s="88"/>
      <c r="F828" s="88"/>
      <c r="G828" s="114"/>
    </row>
    <row r="829">
      <c r="B829" s="87"/>
      <c r="C829" s="88"/>
      <c r="D829" s="88"/>
      <c r="E829" s="88"/>
      <c r="F829" s="88"/>
      <c r="G829" s="114"/>
    </row>
    <row r="830">
      <c r="B830" s="87"/>
      <c r="C830" s="88"/>
      <c r="D830" s="88"/>
      <c r="E830" s="88"/>
      <c r="F830" s="88"/>
      <c r="G830" s="114"/>
    </row>
    <row r="831">
      <c r="B831" s="87"/>
      <c r="C831" s="88"/>
      <c r="D831" s="88"/>
      <c r="E831" s="88"/>
      <c r="F831" s="88"/>
      <c r="G831" s="114"/>
    </row>
    <row r="832">
      <c r="B832" s="87"/>
      <c r="C832" s="88"/>
      <c r="D832" s="88"/>
      <c r="E832" s="88"/>
      <c r="F832" s="88"/>
      <c r="G832" s="114"/>
    </row>
    <row r="833">
      <c r="B833" s="87"/>
      <c r="C833" s="88"/>
      <c r="D833" s="88"/>
      <c r="E833" s="88"/>
      <c r="F833" s="88"/>
      <c r="G833" s="114"/>
    </row>
    <row r="834">
      <c r="B834" s="87"/>
      <c r="C834" s="88"/>
      <c r="D834" s="88"/>
      <c r="E834" s="88"/>
      <c r="F834" s="88"/>
      <c r="G834" s="114"/>
    </row>
    <row r="835">
      <c r="B835" s="87"/>
      <c r="C835" s="88"/>
      <c r="D835" s="88"/>
      <c r="E835" s="88"/>
      <c r="F835" s="88"/>
      <c r="G835" s="114"/>
    </row>
    <row r="836">
      <c r="B836" s="87"/>
      <c r="C836" s="88"/>
      <c r="D836" s="88"/>
      <c r="E836" s="88"/>
      <c r="F836" s="88"/>
      <c r="G836" s="114"/>
    </row>
    <row r="837">
      <c r="B837" s="87"/>
      <c r="C837" s="88"/>
      <c r="D837" s="88"/>
      <c r="E837" s="88"/>
      <c r="F837" s="88"/>
      <c r="G837" s="114"/>
    </row>
    <row r="838">
      <c r="B838" s="87"/>
      <c r="C838" s="88"/>
      <c r="D838" s="88"/>
      <c r="E838" s="88"/>
      <c r="F838" s="88"/>
      <c r="G838" s="114"/>
    </row>
    <row r="839">
      <c r="B839" s="87"/>
      <c r="C839" s="88"/>
      <c r="D839" s="88"/>
      <c r="E839" s="88"/>
      <c r="F839" s="88"/>
      <c r="G839" s="114"/>
    </row>
    <row r="840">
      <c r="B840" s="87"/>
      <c r="C840" s="88"/>
      <c r="D840" s="88"/>
      <c r="E840" s="88"/>
      <c r="F840" s="88"/>
      <c r="G840" s="114"/>
    </row>
    <row r="841">
      <c r="B841" s="87"/>
      <c r="C841" s="88"/>
      <c r="D841" s="88"/>
      <c r="E841" s="88"/>
      <c r="F841" s="88"/>
      <c r="G841" s="114"/>
    </row>
    <row r="842">
      <c r="B842" s="87"/>
      <c r="C842" s="88"/>
      <c r="D842" s="88"/>
      <c r="E842" s="88"/>
      <c r="F842" s="88"/>
      <c r="G842" s="114"/>
    </row>
    <row r="843">
      <c r="B843" s="87"/>
      <c r="C843" s="88"/>
      <c r="D843" s="88"/>
      <c r="E843" s="88"/>
      <c r="F843" s="88"/>
      <c r="G843" s="114"/>
    </row>
    <row r="844">
      <c r="B844" s="87"/>
      <c r="C844" s="88"/>
      <c r="D844" s="88"/>
      <c r="E844" s="88"/>
      <c r="F844" s="88"/>
      <c r="G844" s="114"/>
    </row>
    <row r="845">
      <c r="B845" s="87"/>
      <c r="C845" s="88"/>
      <c r="D845" s="88"/>
      <c r="E845" s="88"/>
      <c r="F845" s="88"/>
      <c r="G845" s="114"/>
    </row>
    <row r="846">
      <c r="B846" s="87"/>
      <c r="C846" s="88"/>
      <c r="D846" s="88"/>
      <c r="E846" s="88"/>
      <c r="F846" s="88"/>
      <c r="G846" s="114"/>
    </row>
    <row r="847">
      <c r="B847" s="87"/>
      <c r="C847" s="88"/>
      <c r="D847" s="88"/>
      <c r="E847" s="88"/>
      <c r="F847" s="88"/>
      <c r="G847" s="114"/>
    </row>
    <row r="848">
      <c r="B848" s="87"/>
      <c r="C848" s="88"/>
      <c r="D848" s="88"/>
      <c r="E848" s="88"/>
      <c r="F848" s="88"/>
      <c r="G848" s="114"/>
    </row>
    <row r="849">
      <c r="B849" s="87"/>
      <c r="C849" s="88"/>
      <c r="D849" s="88"/>
      <c r="E849" s="88"/>
      <c r="F849" s="88"/>
      <c r="G849" s="114"/>
    </row>
    <row r="850">
      <c r="B850" s="87"/>
      <c r="C850" s="88"/>
      <c r="D850" s="88"/>
      <c r="E850" s="88"/>
      <c r="F850" s="88"/>
      <c r="G850" s="114"/>
    </row>
    <row r="851">
      <c r="B851" s="87"/>
      <c r="C851" s="88"/>
      <c r="D851" s="88"/>
      <c r="E851" s="88"/>
      <c r="F851" s="88"/>
      <c r="G851" s="114"/>
    </row>
    <row r="852">
      <c r="B852" s="87"/>
      <c r="C852" s="88"/>
      <c r="D852" s="88"/>
      <c r="E852" s="88"/>
      <c r="F852" s="88"/>
      <c r="G852" s="114"/>
    </row>
    <row r="853">
      <c r="B853" s="87"/>
      <c r="C853" s="88"/>
      <c r="D853" s="88"/>
      <c r="E853" s="88"/>
      <c r="F853" s="88"/>
      <c r="G853" s="114"/>
    </row>
    <row r="854">
      <c r="B854" s="87"/>
      <c r="C854" s="88"/>
      <c r="D854" s="88"/>
      <c r="E854" s="88"/>
      <c r="F854" s="88"/>
      <c r="G854" s="114"/>
    </row>
    <row r="855">
      <c r="B855" s="87"/>
      <c r="C855" s="88"/>
      <c r="D855" s="88"/>
      <c r="E855" s="88"/>
      <c r="F855" s="88"/>
      <c r="G855" s="114"/>
    </row>
    <row r="856">
      <c r="B856" s="87"/>
      <c r="C856" s="88"/>
      <c r="D856" s="88"/>
      <c r="E856" s="88"/>
      <c r="F856" s="88"/>
      <c r="G856" s="114"/>
    </row>
    <row r="857">
      <c r="B857" s="87"/>
      <c r="C857" s="88"/>
      <c r="D857" s="88"/>
      <c r="E857" s="88"/>
      <c r="F857" s="88"/>
      <c r="G857" s="114"/>
    </row>
    <row r="858">
      <c r="B858" s="87"/>
      <c r="C858" s="88"/>
      <c r="D858" s="88"/>
      <c r="E858" s="88"/>
      <c r="F858" s="88"/>
      <c r="G858" s="114"/>
    </row>
    <row r="859">
      <c r="B859" s="87"/>
      <c r="C859" s="88"/>
      <c r="D859" s="88"/>
      <c r="E859" s="88"/>
      <c r="F859" s="88"/>
      <c r="G859" s="114"/>
    </row>
    <row r="860">
      <c r="B860" s="87"/>
      <c r="C860" s="88"/>
      <c r="D860" s="88"/>
      <c r="E860" s="88"/>
      <c r="F860" s="88"/>
      <c r="G860" s="114"/>
    </row>
    <row r="861">
      <c r="B861" s="87"/>
      <c r="C861" s="88"/>
      <c r="D861" s="88"/>
      <c r="E861" s="88"/>
      <c r="F861" s="88"/>
      <c r="G861" s="114"/>
    </row>
    <row r="862">
      <c r="B862" s="87"/>
      <c r="C862" s="88"/>
      <c r="D862" s="88"/>
      <c r="E862" s="88"/>
      <c r="F862" s="88"/>
      <c r="G862" s="114"/>
    </row>
    <row r="863">
      <c r="B863" s="87"/>
      <c r="C863" s="88"/>
      <c r="D863" s="88"/>
      <c r="E863" s="88"/>
      <c r="F863" s="88"/>
      <c r="G863" s="114"/>
    </row>
    <row r="864">
      <c r="B864" s="87"/>
      <c r="C864" s="88"/>
      <c r="D864" s="88"/>
      <c r="E864" s="88"/>
      <c r="F864" s="88"/>
      <c r="G864" s="114"/>
    </row>
    <row r="865">
      <c r="B865" s="87"/>
      <c r="C865" s="88"/>
      <c r="D865" s="88"/>
      <c r="E865" s="88"/>
      <c r="F865" s="88"/>
      <c r="G865" s="114"/>
    </row>
    <row r="866">
      <c r="B866" s="87"/>
      <c r="C866" s="88"/>
      <c r="D866" s="88"/>
      <c r="E866" s="88"/>
      <c r="F866" s="88"/>
      <c r="G866" s="114"/>
    </row>
    <row r="867">
      <c r="B867" s="87"/>
      <c r="C867" s="88"/>
      <c r="D867" s="88"/>
      <c r="E867" s="88"/>
      <c r="F867" s="88"/>
      <c r="G867" s="114"/>
    </row>
    <row r="868">
      <c r="B868" s="87"/>
      <c r="C868" s="88"/>
      <c r="D868" s="88"/>
      <c r="E868" s="88"/>
      <c r="F868" s="88"/>
      <c r="G868" s="114"/>
    </row>
    <row r="869">
      <c r="B869" s="87"/>
      <c r="C869" s="88"/>
      <c r="D869" s="88"/>
      <c r="E869" s="88"/>
      <c r="F869" s="88"/>
      <c r="G869" s="114"/>
    </row>
    <row r="870">
      <c r="B870" s="87"/>
      <c r="C870" s="88"/>
      <c r="D870" s="88"/>
      <c r="E870" s="88"/>
      <c r="F870" s="88"/>
      <c r="G870" s="114"/>
    </row>
    <row r="871">
      <c r="B871" s="87"/>
      <c r="C871" s="88"/>
      <c r="D871" s="88"/>
      <c r="E871" s="88"/>
      <c r="F871" s="88"/>
      <c r="G871" s="114"/>
    </row>
    <row r="872">
      <c r="B872" s="87"/>
      <c r="C872" s="88"/>
      <c r="D872" s="88"/>
      <c r="E872" s="88"/>
      <c r="F872" s="88"/>
      <c r="G872" s="114"/>
    </row>
    <row r="873">
      <c r="B873" s="87"/>
      <c r="C873" s="88"/>
      <c r="D873" s="88"/>
      <c r="E873" s="88"/>
      <c r="F873" s="88"/>
      <c r="G873" s="114"/>
    </row>
    <row r="874">
      <c r="B874" s="87"/>
      <c r="C874" s="88"/>
      <c r="D874" s="88"/>
      <c r="E874" s="88"/>
      <c r="F874" s="88"/>
      <c r="G874" s="114"/>
    </row>
    <row r="875">
      <c r="B875" s="87"/>
      <c r="C875" s="88"/>
      <c r="D875" s="88"/>
      <c r="E875" s="88"/>
      <c r="F875" s="88"/>
      <c r="G875" s="114"/>
    </row>
    <row r="876">
      <c r="B876" s="87"/>
      <c r="C876" s="88"/>
      <c r="D876" s="88"/>
      <c r="E876" s="88"/>
      <c r="F876" s="88"/>
      <c r="G876" s="114"/>
    </row>
    <row r="877">
      <c r="B877" s="87"/>
      <c r="C877" s="88"/>
      <c r="D877" s="88"/>
      <c r="E877" s="88"/>
      <c r="F877" s="88"/>
      <c r="G877" s="114"/>
    </row>
    <row r="878">
      <c r="B878" s="87"/>
      <c r="C878" s="88"/>
      <c r="D878" s="88"/>
      <c r="E878" s="88"/>
      <c r="F878" s="88"/>
      <c r="G878" s="114"/>
    </row>
    <row r="879">
      <c r="B879" s="87"/>
      <c r="C879" s="88"/>
      <c r="D879" s="88"/>
      <c r="E879" s="88"/>
      <c r="F879" s="88"/>
      <c r="G879" s="114"/>
    </row>
    <row r="880">
      <c r="B880" s="87"/>
      <c r="C880" s="88"/>
      <c r="D880" s="88"/>
      <c r="E880" s="88"/>
      <c r="F880" s="88"/>
      <c r="G880" s="114"/>
    </row>
    <row r="881">
      <c r="B881" s="87"/>
      <c r="C881" s="88"/>
      <c r="D881" s="88"/>
      <c r="E881" s="88"/>
      <c r="F881" s="88"/>
      <c r="G881" s="114"/>
    </row>
    <row r="882">
      <c r="B882" s="87"/>
      <c r="C882" s="88"/>
      <c r="D882" s="88"/>
      <c r="E882" s="88"/>
      <c r="F882" s="88"/>
      <c r="G882" s="114"/>
    </row>
    <row r="883">
      <c r="B883" s="87"/>
      <c r="C883" s="88"/>
      <c r="D883" s="88"/>
      <c r="E883" s="88"/>
      <c r="F883" s="88"/>
      <c r="G883" s="114"/>
    </row>
    <row r="884">
      <c r="B884" s="87"/>
      <c r="C884" s="88"/>
      <c r="D884" s="88"/>
      <c r="E884" s="88"/>
      <c r="F884" s="88"/>
      <c r="G884" s="114"/>
    </row>
    <row r="885">
      <c r="B885" s="87"/>
      <c r="C885" s="88"/>
      <c r="D885" s="88"/>
      <c r="E885" s="88"/>
      <c r="F885" s="88"/>
      <c r="G885" s="114"/>
    </row>
    <row r="886">
      <c r="B886" s="87"/>
      <c r="C886" s="88"/>
      <c r="D886" s="88"/>
      <c r="E886" s="88"/>
      <c r="F886" s="88"/>
      <c r="G886" s="114"/>
    </row>
    <row r="887">
      <c r="B887" s="87"/>
      <c r="C887" s="88"/>
      <c r="D887" s="88"/>
      <c r="E887" s="88"/>
      <c r="F887" s="88"/>
      <c r="G887" s="114"/>
    </row>
    <row r="888">
      <c r="B888" s="87"/>
      <c r="C888" s="88"/>
      <c r="D888" s="88"/>
      <c r="E888" s="88"/>
      <c r="F888" s="88"/>
      <c r="G888" s="114"/>
    </row>
    <row r="889">
      <c r="B889" s="87"/>
      <c r="C889" s="88"/>
      <c r="D889" s="88"/>
      <c r="E889" s="88"/>
      <c r="F889" s="88"/>
      <c r="G889" s="114"/>
    </row>
    <row r="890">
      <c r="B890" s="87"/>
      <c r="C890" s="88"/>
      <c r="D890" s="88"/>
      <c r="E890" s="88"/>
      <c r="F890" s="88"/>
      <c r="G890" s="114"/>
    </row>
    <row r="891">
      <c r="B891" s="87"/>
      <c r="C891" s="88"/>
      <c r="D891" s="88"/>
      <c r="E891" s="88"/>
      <c r="F891" s="88"/>
      <c r="G891" s="114"/>
    </row>
    <row r="892">
      <c r="B892" s="87"/>
      <c r="C892" s="88"/>
      <c r="D892" s="88"/>
      <c r="E892" s="88"/>
      <c r="F892" s="88"/>
      <c r="G892" s="114"/>
    </row>
    <row r="893">
      <c r="B893" s="87"/>
      <c r="C893" s="88"/>
      <c r="D893" s="88"/>
      <c r="E893" s="88"/>
      <c r="F893" s="88"/>
      <c r="G893" s="114"/>
    </row>
    <row r="894">
      <c r="B894" s="87"/>
      <c r="C894" s="88"/>
      <c r="D894" s="88"/>
      <c r="E894" s="88"/>
      <c r="F894" s="88"/>
      <c r="G894" s="114"/>
    </row>
    <row r="895">
      <c r="B895" s="87"/>
      <c r="C895" s="88"/>
      <c r="D895" s="88"/>
      <c r="E895" s="88"/>
      <c r="F895" s="88"/>
      <c r="G895" s="114"/>
    </row>
    <row r="896">
      <c r="B896" s="87"/>
      <c r="C896" s="88"/>
      <c r="D896" s="88"/>
      <c r="E896" s="88"/>
      <c r="F896" s="88"/>
      <c r="G896" s="114"/>
    </row>
    <row r="897">
      <c r="B897" s="87"/>
      <c r="C897" s="88"/>
      <c r="D897" s="88"/>
      <c r="E897" s="88"/>
      <c r="F897" s="88"/>
      <c r="G897" s="114"/>
    </row>
    <row r="898">
      <c r="B898" s="87"/>
      <c r="C898" s="88"/>
      <c r="D898" s="88"/>
      <c r="E898" s="88"/>
      <c r="F898" s="88"/>
      <c r="G898" s="114"/>
    </row>
    <row r="899">
      <c r="B899" s="87"/>
      <c r="C899" s="88"/>
      <c r="D899" s="88"/>
      <c r="E899" s="88"/>
      <c r="F899" s="88"/>
      <c r="G899" s="114"/>
    </row>
    <row r="900">
      <c r="B900" s="87"/>
      <c r="C900" s="88"/>
      <c r="D900" s="88"/>
      <c r="E900" s="88"/>
      <c r="F900" s="88"/>
      <c r="G900" s="114"/>
    </row>
    <row r="901">
      <c r="B901" s="87"/>
      <c r="C901" s="88"/>
      <c r="D901" s="88"/>
      <c r="E901" s="88"/>
      <c r="F901" s="88"/>
      <c r="G901" s="114"/>
    </row>
    <row r="902">
      <c r="B902" s="87"/>
      <c r="C902" s="88"/>
      <c r="D902" s="88"/>
      <c r="E902" s="88"/>
      <c r="F902" s="88"/>
      <c r="G902" s="114"/>
    </row>
    <row r="903">
      <c r="B903" s="87"/>
      <c r="C903" s="88"/>
      <c r="D903" s="88"/>
      <c r="E903" s="88"/>
      <c r="F903" s="88"/>
      <c r="G903" s="114"/>
    </row>
    <row r="904">
      <c r="B904" s="87"/>
      <c r="C904" s="88"/>
      <c r="D904" s="88"/>
      <c r="E904" s="88"/>
      <c r="F904" s="88"/>
      <c r="G904" s="114"/>
    </row>
    <row r="905">
      <c r="B905" s="87"/>
      <c r="C905" s="88"/>
      <c r="D905" s="88"/>
      <c r="E905" s="88"/>
      <c r="F905" s="88"/>
      <c r="G905" s="114"/>
    </row>
    <row r="906">
      <c r="B906" s="87"/>
      <c r="C906" s="88"/>
      <c r="D906" s="88"/>
      <c r="E906" s="88"/>
      <c r="F906" s="88"/>
      <c r="G906" s="114"/>
    </row>
    <row r="907">
      <c r="B907" s="87"/>
      <c r="C907" s="88"/>
      <c r="D907" s="88"/>
      <c r="E907" s="88"/>
      <c r="F907" s="88"/>
      <c r="G907" s="114"/>
    </row>
    <row r="908">
      <c r="B908" s="87"/>
      <c r="C908" s="88"/>
      <c r="D908" s="88"/>
      <c r="E908" s="88"/>
      <c r="F908" s="88"/>
      <c r="G908" s="114"/>
    </row>
    <row r="909">
      <c r="B909" s="87"/>
      <c r="C909" s="88"/>
      <c r="D909" s="88"/>
      <c r="E909" s="88"/>
      <c r="F909" s="88"/>
      <c r="G909" s="114"/>
    </row>
    <row r="910">
      <c r="B910" s="87"/>
      <c r="C910" s="88"/>
      <c r="D910" s="88"/>
      <c r="E910" s="88"/>
      <c r="F910" s="88"/>
      <c r="G910" s="114"/>
    </row>
    <row r="911">
      <c r="B911" s="87"/>
      <c r="C911" s="88"/>
      <c r="D911" s="88"/>
      <c r="E911" s="88"/>
      <c r="F911" s="88"/>
      <c r="G911" s="114"/>
    </row>
    <row r="912">
      <c r="B912" s="87"/>
      <c r="C912" s="88"/>
      <c r="D912" s="88"/>
      <c r="E912" s="88"/>
      <c r="F912" s="88"/>
      <c r="G912" s="114"/>
    </row>
    <row r="913">
      <c r="B913" s="87"/>
      <c r="C913" s="88"/>
      <c r="D913" s="88"/>
      <c r="E913" s="88"/>
      <c r="F913" s="88"/>
      <c r="G913" s="114"/>
    </row>
    <row r="914">
      <c r="B914" s="87"/>
      <c r="C914" s="88"/>
      <c r="D914" s="88"/>
      <c r="E914" s="88"/>
      <c r="F914" s="88"/>
      <c r="G914" s="114"/>
    </row>
    <row r="915">
      <c r="B915" s="87"/>
      <c r="C915" s="88"/>
      <c r="D915" s="88"/>
      <c r="E915" s="88"/>
      <c r="F915" s="88"/>
      <c r="G915" s="114"/>
    </row>
    <row r="916">
      <c r="B916" s="87"/>
      <c r="C916" s="88"/>
      <c r="D916" s="88"/>
      <c r="E916" s="88"/>
      <c r="F916" s="88"/>
      <c r="G916" s="114"/>
    </row>
    <row r="917">
      <c r="B917" s="87"/>
      <c r="C917" s="88"/>
      <c r="D917" s="88"/>
      <c r="E917" s="88"/>
      <c r="F917" s="88"/>
      <c r="G917" s="114"/>
    </row>
    <row r="918">
      <c r="B918" s="87"/>
      <c r="C918" s="88"/>
      <c r="D918" s="88"/>
      <c r="E918" s="88"/>
      <c r="F918" s="88"/>
      <c r="G918" s="114"/>
    </row>
    <row r="919">
      <c r="B919" s="87"/>
      <c r="C919" s="88"/>
      <c r="D919" s="88"/>
      <c r="E919" s="88"/>
      <c r="F919" s="88"/>
      <c r="G919" s="114"/>
    </row>
    <row r="920">
      <c r="B920" s="87"/>
      <c r="C920" s="88"/>
      <c r="D920" s="88"/>
      <c r="E920" s="88"/>
      <c r="F920" s="88"/>
      <c r="G920" s="114"/>
    </row>
    <row r="921">
      <c r="B921" s="87"/>
      <c r="C921" s="88"/>
      <c r="D921" s="88"/>
      <c r="E921" s="88"/>
      <c r="F921" s="88"/>
      <c r="G921" s="114"/>
    </row>
    <row r="922">
      <c r="B922" s="87"/>
      <c r="C922" s="88"/>
      <c r="D922" s="88"/>
      <c r="E922" s="88"/>
      <c r="F922" s="88"/>
      <c r="G922" s="114"/>
    </row>
    <row r="923">
      <c r="B923" s="87"/>
      <c r="C923" s="88"/>
      <c r="D923" s="88"/>
      <c r="E923" s="88"/>
      <c r="F923" s="88"/>
      <c r="G923" s="114"/>
    </row>
    <row r="924">
      <c r="B924" s="87"/>
      <c r="C924" s="88"/>
      <c r="D924" s="88"/>
      <c r="E924" s="88"/>
      <c r="F924" s="88"/>
      <c r="G924" s="114"/>
    </row>
    <row r="925">
      <c r="B925" s="87"/>
      <c r="C925" s="88"/>
      <c r="D925" s="88"/>
      <c r="E925" s="88"/>
      <c r="F925" s="88"/>
      <c r="G925" s="114"/>
    </row>
    <row r="926">
      <c r="B926" s="87"/>
      <c r="C926" s="88"/>
      <c r="D926" s="88"/>
      <c r="E926" s="88"/>
      <c r="F926" s="88"/>
      <c r="G926" s="114"/>
    </row>
    <row r="927">
      <c r="B927" s="87"/>
      <c r="C927" s="88"/>
      <c r="D927" s="88"/>
      <c r="E927" s="88"/>
      <c r="F927" s="88"/>
      <c r="G927" s="114"/>
    </row>
    <row r="928">
      <c r="B928" s="87"/>
      <c r="C928" s="88"/>
      <c r="D928" s="88"/>
      <c r="E928" s="88"/>
      <c r="F928" s="88"/>
      <c r="G928" s="114"/>
    </row>
    <row r="929">
      <c r="B929" s="87"/>
      <c r="C929" s="88"/>
      <c r="D929" s="88"/>
      <c r="E929" s="88"/>
      <c r="F929" s="88"/>
      <c r="G929" s="114"/>
    </row>
    <row r="930">
      <c r="B930" s="87"/>
      <c r="C930" s="88"/>
      <c r="D930" s="88"/>
      <c r="E930" s="88"/>
      <c r="F930" s="88"/>
      <c r="G930" s="114"/>
    </row>
    <row r="931">
      <c r="B931" s="87"/>
      <c r="C931" s="88"/>
      <c r="D931" s="88"/>
      <c r="E931" s="88"/>
      <c r="F931" s="88"/>
      <c r="G931" s="114"/>
    </row>
    <row r="932">
      <c r="B932" s="87"/>
      <c r="C932" s="88"/>
      <c r="D932" s="88"/>
      <c r="E932" s="88"/>
      <c r="F932" s="88"/>
      <c r="G932" s="114"/>
    </row>
    <row r="933">
      <c r="B933" s="87"/>
      <c r="C933" s="88"/>
      <c r="D933" s="88"/>
      <c r="E933" s="88"/>
      <c r="F933" s="88"/>
      <c r="G933" s="114"/>
    </row>
    <row r="934">
      <c r="B934" s="87"/>
      <c r="C934" s="88"/>
      <c r="D934" s="88"/>
      <c r="E934" s="88"/>
      <c r="F934" s="88"/>
      <c r="G934" s="114"/>
    </row>
    <row r="935">
      <c r="B935" s="87"/>
      <c r="C935" s="88"/>
      <c r="D935" s="88"/>
      <c r="E935" s="88"/>
      <c r="F935" s="88"/>
      <c r="G935" s="114"/>
    </row>
    <row r="936">
      <c r="B936" s="87"/>
      <c r="C936" s="88"/>
      <c r="D936" s="88"/>
      <c r="E936" s="88"/>
      <c r="F936" s="88"/>
      <c r="G936" s="114"/>
    </row>
    <row r="937">
      <c r="B937" s="87"/>
      <c r="C937" s="88"/>
      <c r="D937" s="88"/>
      <c r="E937" s="88"/>
      <c r="F937" s="88"/>
      <c r="G937" s="114"/>
    </row>
    <row r="938">
      <c r="B938" s="87"/>
      <c r="C938" s="88"/>
      <c r="D938" s="88"/>
      <c r="E938" s="88"/>
      <c r="F938" s="88"/>
      <c r="G938" s="114"/>
    </row>
    <row r="939">
      <c r="B939" s="87"/>
      <c r="C939" s="88"/>
      <c r="D939" s="88"/>
      <c r="E939" s="88"/>
      <c r="F939" s="88"/>
      <c r="G939" s="114"/>
    </row>
    <row r="940">
      <c r="B940" s="87"/>
      <c r="C940" s="88"/>
      <c r="D940" s="88"/>
      <c r="E940" s="88"/>
      <c r="F940" s="88"/>
      <c r="G940" s="114"/>
    </row>
    <row r="941">
      <c r="B941" s="87"/>
      <c r="C941" s="88"/>
      <c r="D941" s="88"/>
      <c r="E941" s="88"/>
      <c r="F941" s="88"/>
      <c r="G941" s="114"/>
    </row>
    <row r="942">
      <c r="B942" s="87"/>
      <c r="C942" s="88"/>
      <c r="D942" s="88"/>
      <c r="E942" s="88"/>
      <c r="F942" s="88"/>
      <c r="G942" s="114"/>
    </row>
    <row r="943">
      <c r="B943" s="87"/>
      <c r="C943" s="88"/>
      <c r="D943" s="88"/>
      <c r="E943" s="88"/>
      <c r="F943" s="88"/>
      <c r="G943" s="114"/>
    </row>
    <row r="944">
      <c r="B944" s="87"/>
      <c r="C944" s="88"/>
      <c r="D944" s="88"/>
      <c r="E944" s="88"/>
      <c r="F944" s="88"/>
      <c r="G944" s="114"/>
    </row>
    <row r="945">
      <c r="B945" s="87"/>
      <c r="C945" s="88"/>
      <c r="D945" s="88"/>
      <c r="E945" s="88"/>
      <c r="F945" s="88"/>
      <c r="G945" s="114"/>
    </row>
    <row r="946">
      <c r="B946" s="87"/>
      <c r="C946" s="88"/>
      <c r="D946" s="88"/>
      <c r="E946" s="88"/>
      <c r="F946" s="88"/>
      <c r="G946" s="114"/>
    </row>
    <row r="947">
      <c r="B947" s="87"/>
      <c r="C947" s="88"/>
      <c r="D947" s="88"/>
      <c r="E947" s="88"/>
      <c r="F947" s="88"/>
      <c r="G947" s="114"/>
    </row>
    <row r="948">
      <c r="B948" s="87"/>
      <c r="C948" s="88"/>
      <c r="D948" s="88"/>
      <c r="E948" s="88"/>
      <c r="F948" s="88"/>
      <c r="G948" s="114"/>
    </row>
    <row r="949">
      <c r="B949" s="87"/>
      <c r="C949" s="88"/>
      <c r="D949" s="88"/>
      <c r="E949" s="88"/>
      <c r="F949" s="88"/>
      <c r="G949" s="114"/>
    </row>
    <row r="950">
      <c r="B950" s="87"/>
      <c r="C950" s="88"/>
      <c r="D950" s="88"/>
      <c r="E950" s="88"/>
      <c r="F950" s="88"/>
      <c r="G950" s="114"/>
    </row>
    <row r="951">
      <c r="B951" s="87"/>
      <c r="C951" s="88"/>
      <c r="D951" s="88"/>
      <c r="E951" s="88"/>
      <c r="F951" s="88"/>
      <c r="G951" s="114"/>
    </row>
    <row r="952">
      <c r="B952" s="87"/>
      <c r="C952" s="88"/>
      <c r="D952" s="88"/>
      <c r="E952" s="88"/>
      <c r="F952" s="88"/>
      <c r="G952" s="114"/>
    </row>
    <row r="953">
      <c r="B953" s="87"/>
      <c r="C953" s="88"/>
      <c r="D953" s="88"/>
      <c r="E953" s="88"/>
      <c r="F953" s="88"/>
      <c r="G953" s="114"/>
    </row>
    <row r="954">
      <c r="B954" s="87"/>
      <c r="C954" s="88"/>
      <c r="D954" s="88"/>
      <c r="E954" s="88"/>
      <c r="F954" s="88"/>
      <c r="G954" s="114"/>
    </row>
    <row r="955">
      <c r="B955" s="87"/>
      <c r="C955" s="88"/>
      <c r="D955" s="88"/>
      <c r="E955" s="88"/>
      <c r="F955" s="88"/>
      <c r="G955" s="114"/>
    </row>
    <row r="956">
      <c r="B956" s="87"/>
      <c r="C956" s="88"/>
      <c r="D956" s="88"/>
      <c r="E956" s="88"/>
      <c r="F956" s="88"/>
      <c r="G956" s="114"/>
    </row>
    <row r="957">
      <c r="B957" s="87"/>
      <c r="C957" s="88"/>
      <c r="D957" s="88"/>
      <c r="E957" s="88"/>
      <c r="F957" s="88"/>
      <c r="G957" s="114"/>
    </row>
    <row r="958">
      <c r="B958" s="87"/>
      <c r="C958" s="88"/>
      <c r="D958" s="88"/>
      <c r="E958" s="88"/>
      <c r="F958" s="88"/>
      <c r="G958" s="114"/>
    </row>
    <row r="959">
      <c r="B959" s="87"/>
      <c r="C959" s="88"/>
      <c r="D959" s="88"/>
      <c r="E959" s="88"/>
      <c r="F959" s="88"/>
      <c r="G959" s="114"/>
    </row>
    <row r="960">
      <c r="B960" s="87"/>
      <c r="C960" s="88"/>
      <c r="D960" s="88"/>
      <c r="E960" s="88"/>
      <c r="F960" s="88"/>
      <c r="G960" s="114"/>
    </row>
    <row r="961">
      <c r="B961" s="87"/>
      <c r="C961" s="88"/>
      <c r="D961" s="88"/>
      <c r="E961" s="88"/>
      <c r="F961" s="88"/>
      <c r="G961" s="114"/>
    </row>
    <row r="962">
      <c r="B962" s="87"/>
      <c r="C962" s="88"/>
      <c r="D962" s="88"/>
      <c r="E962" s="88"/>
      <c r="F962" s="88"/>
      <c r="G962" s="114"/>
    </row>
    <row r="963">
      <c r="B963" s="87"/>
      <c r="C963" s="88"/>
      <c r="D963" s="88"/>
      <c r="E963" s="88"/>
      <c r="F963" s="88"/>
      <c r="G963" s="114"/>
    </row>
    <row r="964">
      <c r="B964" s="87"/>
      <c r="C964" s="88"/>
      <c r="D964" s="88"/>
      <c r="E964" s="88"/>
      <c r="F964" s="88"/>
      <c r="G964" s="114"/>
    </row>
    <row r="965">
      <c r="B965" s="87"/>
      <c r="C965" s="88"/>
      <c r="D965" s="88"/>
      <c r="E965" s="88"/>
      <c r="F965" s="88"/>
      <c r="G965" s="114"/>
    </row>
    <row r="966">
      <c r="B966" s="87"/>
      <c r="C966" s="88"/>
      <c r="D966" s="88"/>
      <c r="E966" s="88"/>
      <c r="F966" s="88"/>
      <c r="G966" s="114"/>
    </row>
    <row r="967">
      <c r="B967" s="87"/>
      <c r="C967" s="88"/>
      <c r="D967" s="88"/>
      <c r="E967" s="88"/>
      <c r="F967" s="88"/>
      <c r="G967" s="114"/>
    </row>
    <row r="968">
      <c r="B968" s="87"/>
      <c r="C968" s="88"/>
      <c r="D968" s="88"/>
      <c r="E968" s="88"/>
      <c r="F968" s="88"/>
      <c r="G968" s="114"/>
    </row>
    <row r="969">
      <c r="B969" s="87"/>
      <c r="C969" s="88"/>
      <c r="D969" s="88"/>
      <c r="E969" s="88"/>
      <c r="F969" s="88"/>
      <c r="G969" s="114"/>
    </row>
    <row r="970">
      <c r="B970" s="87"/>
      <c r="C970" s="88"/>
      <c r="D970" s="88"/>
      <c r="E970" s="88"/>
      <c r="F970" s="88"/>
      <c r="G970" s="114"/>
    </row>
    <row r="971">
      <c r="B971" s="87"/>
      <c r="C971" s="88"/>
      <c r="D971" s="88"/>
      <c r="E971" s="88"/>
      <c r="F971" s="88"/>
      <c r="G971" s="114"/>
    </row>
    <row r="972">
      <c r="B972" s="87"/>
      <c r="C972" s="88"/>
      <c r="D972" s="88"/>
      <c r="E972" s="88"/>
      <c r="F972" s="88"/>
      <c r="G972" s="114"/>
    </row>
    <row r="973">
      <c r="B973" s="87"/>
      <c r="C973" s="88"/>
      <c r="D973" s="88"/>
      <c r="E973" s="88"/>
      <c r="F973" s="88"/>
      <c r="G973" s="114"/>
    </row>
    <row r="974">
      <c r="B974" s="87"/>
      <c r="C974" s="88"/>
      <c r="D974" s="88"/>
      <c r="E974" s="88"/>
      <c r="F974" s="88"/>
      <c r="G974" s="114"/>
    </row>
    <row r="975">
      <c r="B975" s="87"/>
      <c r="C975" s="88"/>
      <c r="D975" s="88"/>
      <c r="E975" s="88"/>
      <c r="F975" s="88"/>
      <c r="G975" s="114"/>
    </row>
    <row r="976">
      <c r="B976" s="87"/>
      <c r="C976" s="88"/>
      <c r="D976" s="88"/>
      <c r="E976" s="88"/>
      <c r="F976" s="88"/>
      <c r="G976" s="114"/>
    </row>
    <row r="977">
      <c r="B977" s="87"/>
      <c r="C977" s="88"/>
      <c r="D977" s="88"/>
      <c r="E977" s="88"/>
      <c r="F977" s="88"/>
      <c r="G977" s="114"/>
    </row>
    <row r="978">
      <c r="B978" s="87"/>
      <c r="C978" s="88"/>
      <c r="D978" s="88"/>
      <c r="E978" s="88"/>
      <c r="F978" s="88"/>
      <c r="G978" s="114"/>
    </row>
    <row r="979">
      <c r="B979" s="87"/>
      <c r="C979" s="88"/>
      <c r="D979" s="88"/>
      <c r="E979" s="88"/>
      <c r="F979" s="88"/>
      <c r="G979" s="114"/>
    </row>
    <row r="980">
      <c r="B980" s="87"/>
      <c r="C980" s="88"/>
      <c r="D980" s="88"/>
      <c r="E980" s="88"/>
      <c r="F980" s="88"/>
      <c r="G980" s="114"/>
    </row>
    <row r="981">
      <c r="B981" s="87"/>
      <c r="C981" s="88"/>
      <c r="D981" s="88"/>
      <c r="E981" s="88"/>
      <c r="F981" s="88"/>
      <c r="G981" s="114"/>
    </row>
    <row r="982">
      <c r="B982" s="87"/>
      <c r="C982" s="88"/>
      <c r="D982" s="88"/>
      <c r="E982" s="88"/>
      <c r="F982" s="88"/>
      <c r="G982" s="114"/>
    </row>
    <row r="983">
      <c r="B983" s="87"/>
      <c r="C983" s="88"/>
      <c r="D983" s="88"/>
      <c r="E983" s="88"/>
      <c r="F983" s="88"/>
      <c r="G983" s="114"/>
    </row>
    <row r="984">
      <c r="B984" s="87"/>
      <c r="C984" s="88"/>
      <c r="D984" s="88"/>
      <c r="E984" s="88"/>
      <c r="F984" s="88"/>
      <c r="G984" s="114"/>
    </row>
    <row r="985">
      <c r="B985" s="87"/>
      <c r="C985" s="88"/>
      <c r="D985" s="88"/>
      <c r="E985" s="88"/>
      <c r="F985" s="88"/>
      <c r="G985" s="114"/>
    </row>
    <row r="986">
      <c r="B986" s="87"/>
      <c r="C986" s="88"/>
      <c r="D986" s="88"/>
      <c r="E986" s="88"/>
      <c r="F986" s="88"/>
      <c r="G986" s="114"/>
    </row>
    <row r="987">
      <c r="B987" s="87"/>
      <c r="C987" s="88"/>
      <c r="D987" s="88"/>
      <c r="E987" s="88"/>
      <c r="F987" s="88"/>
      <c r="G987" s="114"/>
    </row>
    <row r="988">
      <c r="B988" s="87"/>
      <c r="C988" s="88"/>
      <c r="D988" s="88"/>
      <c r="E988" s="88"/>
      <c r="F988" s="88"/>
      <c r="G988" s="114"/>
    </row>
    <row r="989">
      <c r="B989" s="87"/>
      <c r="C989" s="88"/>
      <c r="D989" s="88"/>
      <c r="E989" s="88"/>
      <c r="F989" s="88"/>
      <c r="G989" s="114"/>
    </row>
    <row r="990">
      <c r="B990" s="87"/>
      <c r="C990" s="88"/>
      <c r="D990" s="88"/>
      <c r="E990" s="88"/>
      <c r="F990" s="88"/>
      <c r="G990" s="114"/>
    </row>
    <row r="991">
      <c r="B991" s="87"/>
      <c r="C991" s="88"/>
      <c r="D991" s="88"/>
      <c r="E991" s="88"/>
      <c r="F991" s="88"/>
      <c r="G991" s="114"/>
    </row>
    <row r="992">
      <c r="B992" s="87"/>
      <c r="C992" s="88"/>
      <c r="D992" s="88"/>
      <c r="E992" s="88"/>
      <c r="F992" s="88"/>
      <c r="G992" s="114"/>
    </row>
    <row r="993">
      <c r="B993" s="87"/>
      <c r="C993" s="88"/>
      <c r="D993" s="88"/>
      <c r="E993" s="88"/>
      <c r="F993" s="88"/>
      <c r="G993" s="114"/>
    </row>
    <row r="994">
      <c r="B994" s="87"/>
      <c r="C994" s="88"/>
      <c r="D994" s="88"/>
      <c r="E994" s="88"/>
      <c r="F994" s="88"/>
      <c r="G994" s="114"/>
    </row>
    <row r="995">
      <c r="B995" s="87"/>
      <c r="C995" s="88"/>
      <c r="D995" s="88"/>
      <c r="E995" s="88"/>
      <c r="F995" s="88"/>
      <c r="G995" s="114"/>
    </row>
    <row r="996">
      <c r="B996" s="87"/>
      <c r="C996" s="88"/>
      <c r="D996" s="88"/>
      <c r="E996" s="88"/>
      <c r="F996" s="88"/>
      <c r="G996" s="114"/>
    </row>
    <row r="997">
      <c r="B997" s="87"/>
      <c r="C997" s="88"/>
      <c r="D997" s="88"/>
      <c r="E997" s="88"/>
      <c r="F997" s="88"/>
      <c r="G997" s="114"/>
    </row>
    <row r="998">
      <c r="B998" s="87"/>
      <c r="C998" s="88"/>
      <c r="D998" s="88"/>
      <c r="E998" s="88"/>
      <c r="F998" s="88"/>
      <c r="G998" s="114"/>
    </row>
  </sheetData>
  <mergeCells count="9">
    <mergeCell ref="C17:E17"/>
    <mergeCell ref="F17:F19"/>
    <mergeCell ref="B3:G3"/>
    <mergeCell ref="B4:B6"/>
    <mergeCell ref="C4:E4"/>
    <mergeCell ref="F4:F6"/>
    <mergeCell ref="G4:G6"/>
    <mergeCell ref="B16:F16"/>
    <mergeCell ref="B17:B19"/>
  </mergeCells>
  <conditionalFormatting sqref="K9">
    <cfRule type="cellIs" dxfId="5" priority="1" operator="lessThan">
      <formula>700000</formula>
    </cfRule>
  </conditionalFormatting>
  <conditionalFormatting sqref="F13">
    <cfRule type="notContainsBlanks" dxfId="8" priority="2">
      <formula>LEN(TRIM(F13))&gt;0</formula>
    </cfRule>
  </conditionalFormatting>
  <conditionalFormatting sqref="F20:F24">
    <cfRule type="cellIs" dxfId="9" priority="3" operator="lessThan">
      <formula>"20%"</formula>
    </cfRule>
  </conditionalFormatting>
  <conditionalFormatting sqref="F25">
    <cfRule type="cellIs" dxfId="10" priority="4" operator="lessThan">
      <formula>"100%"</formula>
    </cfRule>
  </conditionalFormatting>
  <conditionalFormatting sqref="F7:F11">
    <cfRule type="cellIs" dxfId="11" priority="5" operator="greaterThanOrEqual">
      <formula>100000</formula>
    </cfRule>
  </conditionalFormatting>
  <conditionalFormatting sqref="F7:F11">
    <cfRule type="cellIs" dxfId="12" priority="6" operator="between">
      <formula>95000</formula>
      <formula>99000</formula>
    </cfRule>
  </conditionalFormatting>
  <conditionalFormatting sqref="F7:F11">
    <cfRule type="cellIs" dxfId="13" priority="7" operator="lessThanOrEqual">
      <formula>95000</formula>
    </cfRule>
  </conditionalFormatting>
  <conditionalFormatting sqref="F12">
    <cfRule type="cellIs" dxfId="11" priority="8" operator="greaterThanOrEqual">
      <formula>500000</formula>
    </cfRule>
  </conditionalFormatting>
  <conditionalFormatting sqref="F12">
    <cfRule type="cellIs" dxfId="13" priority="9" operator="lessThanOrEqual">
      <formula>499000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hidden="1" min="1" max="1" width="12.63"/>
    <col customWidth="1" min="2" max="2" width="12.63"/>
    <col customWidth="1" min="6" max="6" width="17.75"/>
    <col customWidth="1" min="7" max="7" width="48.88"/>
  </cols>
  <sheetData>
    <row r="1">
      <c r="B1" s="112" t="s">
        <v>156</v>
      </c>
      <c r="C1" s="88"/>
      <c r="D1" s="88"/>
      <c r="E1" s="88"/>
      <c r="F1" s="113"/>
      <c r="G1" s="114"/>
    </row>
    <row r="2">
      <c r="B2" s="87"/>
      <c r="C2" s="88"/>
      <c r="D2" s="88"/>
      <c r="E2" s="88"/>
      <c r="F2" s="113"/>
      <c r="G2" s="114"/>
    </row>
    <row r="3">
      <c r="B3" s="115" t="s">
        <v>157</v>
      </c>
      <c r="C3" s="57"/>
      <c r="D3" s="57"/>
      <c r="E3" s="57"/>
      <c r="F3" s="57"/>
      <c r="G3" s="58"/>
      <c r="I3" s="116"/>
    </row>
    <row r="4">
      <c r="B4" s="117" t="s">
        <v>24</v>
      </c>
      <c r="C4" s="118" t="s">
        <v>1</v>
      </c>
      <c r="D4" s="57"/>
      <c r="E4" s="58"/>
      <c r="F4" s="119" t="s">
        <v>158</v>
      </c>
      <c r="G4" s="120" t="s">
        <v>159</v>
      </c>
    </row>
    <row r="5">
      <c r="B5" s="121"/>
      <c r="C5" s="122" t="s">
        <v>160</v>
      </c>
      <c r="D5" s="122" t="s">
        <v>161</v>
      </c>
      <c r="E5" s="122" t="s">
        <v>162</v>
      </c>
      <c r="F5" s="121"/>
      <c r="G5" s="121"/>
    </row>
    <row r="6">
      <c r="B6" s="123"/>
      <c r="C6" s="122" t="s">
        <v>32</v>
      </c>
      <c r="D6" s="122" t="s">
        <v>163</v>
      </c>
      <c r="E6" s="122" t="s">
        <v>25</v>
      </c>
      <c r="F6" s="123"/>
      <c r="G6" s="123"/>
    </row>
    <row r="7">
      <c r="B7" s="124">
        <v>46188.0</v>
      </c>
      <c r="C7" s="101">
        <f>SUMIFS(LIBERACION!$V:$V,LIBERACION!$Y:$Y,$B7,LIBERACION!$B:$B,C$6)</f>
        <v>115775</v>
      </c>
      <c r="D7" s="101">
        <f>SUMIFS(LIBERACION!$V:$V,LIBERACION!$Y:$Y,$B7,LIBERACION!$B:$B,D$6)</f>
        <v>0</v>
      </c>
      <c r="E7" s="101">
        <f>SUMIFS(LIBERACION!$V:$V,LIBERACION!$Y:$Y,$B7,LIBERACION!$B:$B,E$6)</f>
        <v>65525</v>
      </c>
      <c r="F7" s="102">
        <f t="shared" ref="F7:F11" si="1">SUM(C7:E7)</f>
        <v>181300</v>
      </c>
      <c r="G7" s="125"/>
    </row>
    <row r="8">
      <c r="B8" s="124">
        <v>46189.0</v>
      </c>
      <c r="C8" s="101">
        <f>SUMIFS(LIBERACION!$V:$V,LIBERACION!$Y:$Y,$B8,LIBERACION!$B:$B,C$6)</f>
        <v>16375</v>
      </c>
      <c r="D8" s="101">
        <f>SUMIFS(LIBERACION!$V:$V,LIBERACION!$Y:$Y,$B8,LIBERACION!$B:$B,D$6)</f>
        <v>0</v>
      </c>
      <c r="E8" s="101">
        <f>SUMIFS(LIBERACION!$V:$V,LIBERACION!$Y:$Y,$B8,LIBERACION!$B:$B,E$6)</f>
        <v>94625</v>
      </c>
      <c r="F8" s="126">
        <f t="shared" si="1"/>
        <v>111000</v>
      </c>
      <c r="G8" s="125"/>
    </row>
    <row r="9">
      <c r="B9" s="124">
        <v>46190.0</v>
      </c>
      <c r="C9" s="101">
        <f>SUMIFS(LIBERACION!$V:$V,LIBERACION!$Y:$Y,$B9,LIBERACION!$B:$B,C$6)</f>
        <v>70725</v>
      </c>
      <c r="D9" s="101">
        <f>SUMIFS(LIBERACION!$V:$V,LIBERACION!$Y:$Y,$B9,LIBERACION!$B:$B,D$6)</f>
        <v>0</v>
      </c>
      <c r="E9" s="101">
        <f>SUMIFS(LIBERACION!$V:$V,LIBERACION!$Y:$Y,$B9,LIBERACION!$B:$B,E$6)</f>
        <v>45200</v>
      </c>
      <c r="F9" s="126">
        <f t="shared" si="1"/>
        <v>115925</v>
      </c>
      <c r="G9" s="125"/>
    </row>
    <row r="10">
      <c r="B10" s="124">
        <v>46191.0</v>
      </c>
      <c r="C10" s="101">
        <f>SUMIFS(LIBERACION!$V:$V,LIBERACION!$Y:$Y,$B10,LIBERACION!$B:$B,C$6)</f>
        <v>88975</v>
      </c>
      <c r="D10" s="101">
        <f>SUMIFS(LIBERACION!$V:$V,LIBERACION!$Y:$Y,$B10,LIBERACION!$B:$B,D$6)</f>
        <v>0</v>
      </c>
      <c r="E10" s="101">
        <f>SUMIFS(LIBERACION!$V:$V,LIBERACION!$Y:$Y,$B10,LIBERACION!$B:$B,E$6)</f>
        <v>65650</v>
      </c>
      <c r="F10" s="102">
        <f t="shared" si="1"/>
        <v>154625</v>
      </c>
      <c r="G10" s="125"/>
    </row>
    <row r="11">
      <c r="B11" s="124">
        <v>46192.0</v>
      </c>
      <c r="C11" s="101">
        <f>SUMIFS(LIBERACION!$V:$V,LIBERACION!$Y:$Y,$B11,LIBERACION!$B:$B,C$6)</f>
        <v>110175</v>
      </c>
      <c r="D11" s="101">
        <f>SUMIFS(LIBERACION!$V:$V,LIBERACION!$Y:$Y,$B11,LIBERACION!$B:$B,D$6)</f>
        <v>0</v>
      </c>
      <c r="E11" s="101">
        <f>SUMIFS(LIBERACION!$V:$V,LIBERACION!$Y:$Y,$B11,LIBERACION!$B:$B,E$6)</f>
        <v>136650</v>
      </c>
      <c r="F11" s="102">
        <f t="shared" si="1"/>
        <v>246825</v>
      </c>
      <c r="G11" s="125"/>
    </row>
    <row r="12">
      <c r="B12" s="87"/>
      <c r="C12" s="88"/>
      <c r="D12" s="88"/>
      <c r="E12" s="127" t="s">
        <v>166</v>
      </c>
      <c r="F12" s="101">
        <f> SUM( F7:F11 )</f>
        <v>809675</v>
      </c>
      <c r="G12" s="114"/>
    </row>
    <row r="13">
      <c r="B13" s="87"/>
      <c r="C13" s="88"/>
      <c r="D13" s="88"/>
      <c r="E13" s="88"/>
      <c r="F13" s="88"/>
      <c r="G13" s="114"/>
    </row>
    <row r="14">
      <c r="B14" s="87"/>
      <c r="C14" s="88"/>
      <c r="D14" s="88"/>
      <c r="E14" s="88"/>
      <c r="F14" s="88"/>
      <c r="G14" s="114"/>
    </row>
    <row r="15">
      <c r="B15" s="87"/>
      <c r="C15" s="88"/>
      <c r="D15" s="88"/>
      <c r="E15" s="88"/>
      <c r="F15" s="88"/>
      <c r="G15" s="128"/>
    </row>
    <row r="16">
      <c r="B16" s="115" t="s">
        <v>167</v>
      </c>
      <c r="C16" s="57"/>
      <c r="D16" s="57"/>
      <c r="E16" s="57"/>
      <c r="F16" s="58"/>
      <c r="G16" s="114"/>
    </row>
    <row r="17">
      <c r="B17" s="129" t="s">
        <v>24</v>
      </c>
      <c r="C17" s="130" t="s">
        <v>1</v>
      </c>
      <c r="D17" s="57"/>
      <c r="E17" s="58"/>
      <c r="F17" s="131" t="s">
        <v>168</v>
      </c>
      <c r="G17" s="114"/>
    </row>
    <row r="18">
      <c r="B18" s="121"/>
      <c r="C18" s="132" t="s">
        <v>160</v>
      </c>
      <c r="D18" s="132" t="s">
        <v>161</v>
      </c>
      <c r="E18" s="132" t="s">
        <v>162</v>
      </c>
      <c r="F18" s="121"/>
      <c r="G18" s="114"/>
    </row>
    <row r="19">
      <c r="B19" s="123"/>
      <c r="C19" s="132" t="s">
        <v>32</v>
      </c>
      <c r="D19" s="132" t="s">
        <v>163</v>
      </c>
      <c r="E19" s="132" t="s">
        <v>25</v>
      </c>
      <c r="F19" s="123"/>
      <c r="G19" s="114"/>
    </row>
    <row r="20">
      <c r="B20" s="124">
        <f t="shared" ref="B20:B24" si="3">B7</f>
        <v>46188</v>
      </c>
      <c r="C20" s="103">
        <f t="shared" ref="C20:E20" si="2">((C7*100)/500000)/100</f>
        <v>0.23155</v>
      </c>
      <c r="D20" s="103">
        <f t="shared" si="2"/>
        <v>0</v>
      </c>
      <c r="E20" s="103">
        <f t="shared" si="2"/>
        <v>0.13105</v>
      </c>
      <c r="F20" s="103">
        <f t="shared" ref="F20:F24" si="5">SUM(C20:E20)</f>
        <v>0.3626</v>
      </c>
      <c r="G20" s="114"/>
    </row>
    <row r="21">
      <c r="B21" s="124">
        <f t="shared" si="3"/>
        <v>46189</v>
      </c>
      <c r="C21" s="103">
        <f t="shared" ref="C21:E21" si="4">((C8*100)/500000)/100</f>
        <v>0.03275</v>
      </c>
      <c r="D21" s="103">
        <f t="shared" si="4"/>
        <v>0</v>
      </c>
      <c r="E21" s="103">
        <f t="shared" si="4"/>
        <v>0.18925</v>
      </c>
      <c r="F21" s="103">
        <f t="shared" si="5"/>
        <v>0.222</v>
      </c>
      <c r="G21" s="114"/>
    </row>
    <row r="22">
      <c r="B22" s="124">
        <f t="shared" si="3"/>
        <v>46190</v>
      </c>
      <c r="C22" s="103">
        <f t="shared" ref="C22:E22" si="6">((C9*100)/500000)/100</f>
        <v>0.14145</v>
      </c>
      <c r="D22" s="103">
        <f t="shared" si="6"/>
        <v>0</v>
      </c>
      <c r="E22" s="103">
        <f t="shared" si="6"/>
        <v>0.0904</v>
      </c>
      <c r="F22" s="103">
        <f t="shared" si="5"/>
        <v>0.23185</v>
      </c>
      <c r="G22" s="114"/>
    </row>
    <row r="23">
      <c r="B23" s="124">
        <f t="shared" si="3"/>
        <v>46191</v>
      </c>
      <c r="C23" s="103">
        <f t="shared" ref="C23:E23" si="7">((C10*100)/500000)/100</f>
        <v>0.17795</v>
      </c>
      <c r="D23" s="103">
        <f t="shared" si="7"/>
        <v>0</v>
      </c>
      <c r="E23" s="103">
        <f t="shared" si="7"/>
        <v>0.1313</v>
      </c>
      <c r="F23" s="103">
        <f t="shared" si="5"/>
        <v>0.30925</v>
      </c>
      <c r="G23" s="114"/>
    </row>
    <row r="24">
      <c r="B24" s="124">
        <f t="shared" si="3"/>
        <v>46192</v>
      </c>
      <c r="C24" s="103">
        <f t="shared" ref="C24:E24" si="8">((C11*100)/500000)/100</f>
        <v>0.22035</v>
      </c>
      <c r="D24" s="103">
        <f t="shared" si="8"/>
        <v>0</v>
      </c>
      <c r="E24" s="103">
        <f t="shared" si="8"/>
        <v>0.2733</v>
      </c>
      <c r="F24" s="103">
        <f t="shared" si="5"/>
        <v>0.49365</v>
      </c>
      <c r="G24" s="114"/>
    </row>
    <row r="25">
      <c r="B25" s="87"/>
      <c r="C25" s="88"/>
      <c r="D25" s="88"/>
      <c r="E25" s="127" t="s">
        <v>169</v>
      </c>
      <c r="F25" s="103">
        <f>SUM(F20:F24)</f>
        <v>1.61935</v>
      </c>
      <c r="G25" s="114"/>
    </row>
    <row r="26">
      <c r="B26" s="87"/>
      <c r="C26" s="88"/>
      <c r="D26" s="88"/>
      <c r="E26" s="88"/>
      <c r="F26" s="88"/>
      <c r="G26" s="114"/>
    </row>
    <row r="27">
      <c r="B27" s="87"/>
      <c r="C27" s="88"/>
      <c r="D27" s="88"/>
      <c r="E27" s="88"/>
      <c r="F27" s="88"/>
      <c r="G27" s="114"/>
    </row>
    <row r="28">
      <c r="B28" s="87"/>
      <c r="C28" s="88"/>
      <c r="D28" s="88"/>
      <c r="E28" s="88"/>
      <c r="F28" s="88"/>
      <c r="G28" s="114"/>
    </row>
    <row r="29">
      <c r="B29" s="87"/>
      <c r="C29" s="88"/>
      <c r="D29" s="88"/>
      <c r="E29" s="88"/>
      <c r="F29" s="88"/>
      <c r="G29" s="114"/>
    </row>
    <row r="30">
      <c r="B30" s="87"/>
      <c r="C30" s="88"/>
      <c r="D30" s="88"/>
      <c r="E30" s="88"/>
      <c r="F30" s="88"/>
      <c r="G30" s="114"/>
    </row>
    <row r="31">
      <c r="B31" s="87"/>
      <c r="C31" s="88"/>
      <c r="D31" s="88"/>
      <c r="E31" s="88"/>
      <c r="F31" s="88"/>
      <c r="G31" s="114"/>
    </row>
    <row r="32">
      <c r="B32" s="87"/>
      <c r="C32" s="88"/>
      <c r="D32" s="88"/>
      <c r="E32" s="88"/>
      <c r="F32" s="88"/>
      <c r="G32" s="114"/>
    </row>
    <row r="33">
      <c r="B33" s="87"/>
      <c r="C33" s="88"/>
      <c r="D33" s="88"/>
      <c r="E33" s="88"/>
      <c r="F33" s="88"/>
      <c r="G33" s="114"/>
    </row>
    <row r="34">
      <c r="B34" s="87"/>
      <c r="C34" s="88"/>
      <c r="D34" s="88"/>
      <c r="E34" s="88"/>
      <c r="F34" s="88"/>
      <c r="G34" s="114"/>
    </row>
    <row r="35">
      <c r="B35" s="87"/>
      <c r="C35" s="88"/>
      <c r="D35" s="88"/>
      <c r="E35" s="88"/>
      <c r="F35" s="88"/>
      <c r="G35" s="114"/>
    </row>
    <row r="36">
      <c r="B36" s="87"/>
      <c r="C36" s="88"/>
      <c r="D36" s="88"/>
      <c r="E36" s="88"/>
      <c r="F36" s="88"/>
      <c r="G36" s="114"/>
    </row>
    <row r="37">
      <c r="B37" s="87"/>
      <c r="C37" s="88"/>
      <c r="D37" s="88"/>
      <c r="E37" s="88"/>
      <c r="F37" s="88"/>
      <c r="G37" s="114"/>
    </row>
    <row r="38">
      <c r="B38" s="87"/>
      <c r="C38" s="88"/>
      <c r="D38" s="88"/>
      <c r="E38" s="88"/>
      <c r="F38" s="88"/>
      <c r="G38" s="114"/>
    </row>
    <row r="39">
      <c r="B39" s="87"/>
      <c r="C39" s="88"/>
      <c r="D39" s="88"/>
      <c r="E39" s="88"/>
      <c r="F39" s="88"/>
      <c r="G39" s="114"/>
    </row>
    <row r="40">
      <c r="B40" s="87"/>
      <c r="C40" s="88"/>
      <c r="D40" s="88"/>
      <c r="E40" s="88"/>
      <c r="F40" s="88"/>
      <c r="G40" s="114"/>
    </row>
    <row r="41">
      <c r="B41" s="87"/>
      <c r="C41" s="88"/>
      <c r="D41" s="88"/>
      <c r="E41" s="88"/>
      <c r="F41" s="88"/>
      <c r="G41" s="114"/>
    </row>
    <row r="42">
      <c r="B42" s="87"/>
      <c r="C42" s="88"/>
      <c r="D42" s="88"/>
      <c r="E42" s="88"/>
      <c r="F42" s="88"/>
      <c r="G42" s="114"/>
    </row>
    <row r="43">
      <c r="B43" s="87"/>
      <c r="C43" s="88"/>
      <c r="D43" s="88"/>
      <c r="E43" s="88"/>
      <c r="F43" s="88"/>
      <c r="G43" s="114"/>
    </row>
    <row r="44">
      <c r="B44" s="87"/>
      <c r="C44" s="88"/>
      <c r="D44" s="88"/>
      <c r="E44" s="88"/>
      <c r="F44" s="88"/>
      <c r="G44" s="114"/>
    </row>
    <row r="45">
      <c r="B45" s="87"/>
      <c r="C45" s="88"/>
      <c r="D45" s="88"/>
      <c r="E45" s="88"/>
      <c r="F45" s="88"/>
      <c r="G45" s="114"/>
    </row>
    <row r="46">
      <c r="B46" s="87"/>
      <c r="C46" s="88"/>
      <c r="D46" s="88"/>
      <c r="E46" s="88"/>
      <c r="F46" s="88"/>
      <c r="G46" s="114"/>
    </row>
    <row r="47">
      <c r="B47" s="87"/>
      <c r="C47" s="88"/>
      <c r="D47" s="88"/>
      <c r="E47" s="88"/>
      <c r="F47" s="88"/>
      <c r="G47" s="114"/>
    </row>
    <row r="48">
      <c r="B48" s="87"/>
      <c r="C48" s="88"/>
      <c r="D48" s="88"/>
      <c r="E48" s="88"/>
      <c r="F48" s="88"/>
      <c r="G48" s="114"/>
    </row>
    <row r="49">
      <c r="B49" s="87"/>
      <c r="C49" s="88"/>
      <c r="D49" s="88"/>
      <c r="E49" s="88"/>
      <c r="F49" s="88"/>
      <c r="G49" s="114"/>
    </row>
    <row r="50">
      <c r="B50" s="87"/>
      <c r="C50" s="88"/>
      <c r="D50" s="88"/>
      <c r="E50" s="88"/>
      <c r="F50" s="88"/>
      <c r="G50" s="114"/>
    </row>
    <row r="51">
      <c r="B51" s="87"/>
      <c r="C51" s="88"/>
      <c r="D51" s="88"/>
      <c r="E51" s="88"/>
      <c r="F51" s="88"/>
      <c r="G51" s="114"/>
    </row>
    <row r="52">
      <c r="B52" s="87"/>
      <c r="C52" s="88"/>
      <c r="D52" s="88"/>
      <c r="E52" s="88"/>
      <c r="F52" s="88"/>
      <c r="G52" s="114"/>
    </row>
    <row r="53">
      <c r="B53" s="87"/>
      <c r="C53" s="88"/>
      <c r="D53" s="88"/>
      <c r="E53" s="88"/>
      <c r="F53" s="88"/>
      <c r="G53" s="114"/>
    </row>
    <row r="54">
      <c r="B54" s="87"/>
      <c r="C54" s="88"/>
      <c r="D54" s="88"/>
      <c r="E54" s="88"/>
      <c r="F54" s="88"/>
      <c r="G54" s="114"/>
    </row>
    <row r="55">
      <c r="B55" s="87"/>
      <c r="C55" s="88"/>
      <c r="D55" s="88"/>
      <c r="E55" s="88"/>
      <c r="F55" s="88"/>
      <c r="G55" s="114"/>
    </row>
    <row r="56">
      <c r="B56" s="87"/>
      <c r="C56" s="88"/>
      <c r="D56" s="88"/>
      <c r="E56" s="88"/>
      <c r="F56" s="88"/>
      <c r="G56" s="114"/>
    </row>
    <row r="57">
      <c r="B57" s="87"/>
      <c r="C57" s="88"/>
      <c r="D57" s="88"/>
      <c r="E57" s="88"/>
      <c r="F57" s="88"/>
      <c r="G57" s="114"/>
    </row>
    <row r="58">
      <c r="B58" s="87"/>
      <c r="C58" s="88"/>
      <c r="D58" s="88"/>
      <c r="E58" s="88"/>
      <c r="F58" s="88"/>
      <c r="G58" s="114"/>
    </row>
    <row r="59">
      <c r="B59" s="87"/>
      <c r="C59" s="88"/>
      <c r="D59" s="88"/>
      <c r="E59" s="88"/>
      <c r="F59" s="88"/>
      <c r="G59" s="114"/>
    </row>
    <row r="60">
      <c r="B60" s="87"/>
      <c r="C60" s="88"/>
      <c r="D60" s="88"/>
      <c r="E60" s="88"/>
      <c r="F60" s="88"/>
      <c r="G60" s="114"/>
    </row>
    <row r="61">
      <c r="B61" s="87"/>
      <c r="C61" s="88"/>
      <c r="D61" s="88"/>
      <c r="E61" s="88"/>
      <c r="F61" s="88"/>
      <c r="G61" s="114"/>
    </row>
    <row r="62">
      <c r="B62" s="87"/>
      <c r="C62" s="88"/>
      <c r="D62" s="88"/>
      <c r="E62" s="88"/>
      <c r="F62" s="88"/>
      <c r="G62" s="114"/>
    </row>
    <row r="63">
      <c r="B63" s="87"/>
      <c r="C63" s="88"/>
      <c r="D63" s="88"/>
      <c r="E63" s="88"/>
      <c r="F63" s="88"/>
      <c r="G63" s="114"/>
    </row>
    <row r="64">
      <c r="B64" s="87"/>
      <c r="C64" s="88"/>
      <c r="D64" s="88"/>
      <c r="E64" s="88"/>
      <c r="F64" s="88"/>
      <c r="G64" s="114"/>
    </row>
    <row r="65">
      <c r="B65" s="87"/>
      <c r="C65" s="88"/>
      <c r="D65" s="88"/>
      <c r="E65" s="88"/>
      <c r="F65" s="88"/>
      <c r="G65" s="114"/>
    </row>
    <row r="66">
      <c r="B66" s="87"/>
      <c r="C66" s="88"/>
      <c r="D66" s="88"/>
      <c r="E66" s="88"/>
      <c r="F66" s="88"/>
      <c r="G66" s="114"/>
    </row>
    <row r="67">
      <c r="B67" s="87"/>
      <c r="C67" s="88"/>
      <c r="D67" s="88"/>
      <c r="E67" s="88"/>
      <c r="F67" s="88"/>
      <c r="G67" s="114"/>
    </row>
    <row r="68">
      <c r="B68" s="87"/>
      <c r="C68" s="88"/>
      <c r="D68" s="88"/>
      <c r="E68" s="88"/>
      <c r="F68" s="88"/>
      <c r="G68" s="114"/>
    </row>
    <row r="69">
      <c r="B69" s="87"/>
      <c r="C69" s="88"/>
      <c r="D69" s="88"/>
      <c r="E69" s="88"/>
      <c r="F69" s="88"/>
      <c r="G69" s="114"/>
    </row>
    <row r="70">
      <c r="B70" s="87"/>
      <c r="C70" s="88"/>
      <c r="D70" s="88"/>
      <c r="E70" s="88"/>
      <c r="F70" s="88"/>
      <c r="G70" s="114"/>
    </row>
    <row r="71">
      <c r="B71" s="87"/>
      <c r="C71" s="88"/>
      <c r="D71" s="88"/>
      <c r="E71" s="88"/>
      <c r="F71" s="88"/>
      <c r="G71" s="114"/>
    </row>
    <row r="72">
      <c r="B72" s="87"/>
      <c r="C72" s="88"/>
      <c r="D72" s="88"/>
      <c r="E72" s="88"/>
      <c r="F72" s="88"/>
      <c r="G72" s="114"/>
    </row>
    <row r="73">
      <c r="B73" s="87"/>
      <c r="C73" s="88"/>
      <c r="D73" s="88"/>
      <c r="E73" s="88"/>
      <c r="F73" s="88"/>
      <c r="G73" s="114"/>
    </row>
    <row r="74">
      <c r="B74" s="87"/>
      <c r="C74" s="88"/>
      <c r="D74" s="88"/>
      <c r="E74" s="88"/>
      <c r="F74" s="88"/>
      <c r="G74" s="114"/>
    </row>
    <row r="75">
      <c r="B75" s="87"/>
      <c r="C75" s="88"/>
      <c r="D75" s="88"/>
      <c r="E75" s="88"/>
      <c r="F75" s="88"/>
      <c r="G75" s="114"/>
    </row>
    <row r="76">
      <c r="B76" s="87"/>
      <c r="C76" s="88"/>
      <c r="D76" s="88"/>
      <c r="E76" s="88"/>
      <c r="F76" s="88"/>
      <c r="G76" s="114"/>
    </row>
    <row r="77">
      <c r="B77" s="87"/>
      <c r="C77" s="88"/>
      <c r="D77" s="88"/>
      <c r="E77" s="88"/>
      <c r="F77" s="88"/>
      <c r="G77" s="114"/>
    </row>
    <row r="78">
      <c r="B78" s="87"/>
      <c r="C78" s="88"/>
      <c r="D78" s="88"/>
      <c r="E78" s="88"/>
      <c r="F78" s="88"/>
      <c r="G78" s="114"/>
    </row>
    <row r="79">
      <c r="B79" s="87"/>
      <c r="C79" s="88"/>
      <c r="D79" s="88"/>
      <c r="E79" s="88"/>
      <c r="F79" s="88"/>
      <c r="G79" s="114"/>
    </row>
    <row r="80">
      <c r="B80" s="87"/>
      <c r="C80" s="88"/>
      <c r="D80" s="88"/>
      <c r="E80" s="88"/>
      <c r="F80" s="88"/>
      <c r="G80" s="114"/>
    </row>
    <row r="81">
      <c r="B81" s="87"/>
      <c r="C81" s="88"/>
      <c r="D81" s="88"/>
      <c r="E81" s="88"/>
      <c r="F81" s="88"/>
      <c r="G81" s="114"/>
    </row>
    <row r="82">
      <c r="B82" s="87"/>
      <c r="C82" s="88"/>
      <c r="D82" s="88"/>
      <c r="E82" s="88"/>
      <c r="F82" s="88"/>
      <c r="G82" s="114"/>
    </row>
    <row r="83">
      <c r="B83" s="87"/>
      <c r="C83" s="88"/>
      <c r="D83" s="88"/>
      <c r="E83" s="88"/>
      <c r="F83" s="88"/>
      <c r="G83" s="114"/>
    </row>
    <row r="84">
      <c r="B84" s="87"/>
      <c r="C84" s="88"/>
      <c r="D84" s="88"/>
      <c r="E84" s="88"/>
      <c r="F84" s="88"/>
      <c r="G84" s="114"/>
    </row>
    <row r="85">
      <c r="B85" s="87"/>
      <c r="C85" s="88"/>
      <c r="D85" s="88"/>
      <c r="E85" s="88"/>
      <c r="F85" s="88"/>
      <c r="G85" s="114"/>
    </row>
    <row r="86">
      <c r="B86" s="87"/>
      <c r="C86" s="88"/>
      <c r="D86" s="88"/>
      <c r="E86" s="88"/>
      <c r="F86" s="88"/>
      <c r="G86" s="114"/>
    </row>
    <row r="87">
      <c r="B87" s="87"/>
      <c r="C87" s="88"/>
      <c r="D87" s="88"/>
      <c r="E87" s="88"/>
      <c r="F87" s="88"/>
      <c r="G87" s="114"/>
    </row>
    <row r="88">
      <c r="B88" s="87"/>
      <c r="C88" s="88"/>
      <c r="D88" s="88"/>
      <c r="E88" s="88"/>
      <c r="F88" s="88"/>
      <c r="G88" s="114"/>
    </row>
    <row r="89">
      <c r="B89" s="87"/>
      <c r="C89" s="88"/>
      <c r="D89" s="88"/>
      <c r="E89" s="88"/>
      <c r="F89" s="88"/>
      <c r="G89" s="114"/>
    </row>
    <row r="90">
      <c r="B90" s="87"/>
      <c r="C90" s="88"/>
      <c r="D90" s="88"/>
      <c r="E90" s="88"/>
      <c r="F90" s="88"/>
      <c r="G90" s="114"/>
    </row>
    <row r="91">
      <c r="B91" s="87"/>
      <c r="C91" s="88"/>
      <c r="D91" s="88"/>
      <c r="E91" s="88"/>
      <c r="F91" s="88"/>
      <c r="G91" s="114"/>
    </row>
    <row r="92">
      <c r="B92" s="87"/>
      <c r="C92" s="88"/>
      <c r="D92" s="88"/>
      <c r="E92" s="88"/>
      <c r="F92" s="88"/>
      <c r="G92" s="114"/>
    </row>
    <row r="93">
      <c r="B93" s="87"/>
      <c r="C93" s="88"/>
      <c r="D93" s="88"/>
      <c r="E93" s="88"/>
      <c r="F93" s="88"/>
      <c r="G93" s="114"/>
    </row>
    <row r="94">
      <c r="B94" s="87"/>
      <c r="C94" s="88"/>
      <c r="D94" s="88"/>
      <c r="E94" s="88"/>
      <c r="F94" s="88"/>
      <c r="G94" s="114"/>
    </row>
    <row r="95">
      <c r="B95" s="87"/>
      <c r="C95" s="88"/>
      <c r="D95" s="88"/>
      <c r="E95" s="88"/>
      <c r="F95" s="88"/>
      <c r="G95" s="114"/>
    </row>
    <row r="96">
      <c r="B96" s="87"/>
      <c r="C96" s="88"/>
      <c r="D96" s="88"/>
      <c r="E96" s="88"/>
      <c r="F96" s="88"/>
      <c r="G96" s="114"/>
    </row>
    <row r="97">
      <c r="B97" s="87"/>
      <c r="C97" s="88"/>
      <c r="D97" s="88"/>
      <c r="E97" s="88"/>
      <c r="F97" s="88"/>
      <c r="G97" s="114"/>
    </row>
    <row r="98">
      <c r="B98" s="87"/>
      <c r="C98" s="88"/>
      <c r="D98" s="88"/>
      <c r="E98" s="88"/>
      <c r="F98" s="88"/>
      <c r="G98" s="114"/>
    </row>
    <row r="99">
      <c r="B99" s="87"/>
      <c r="C99" s="88"/>
      <c r="D99" s="88"/>
      <c r="E99" s="88"/>
      <c r="F99" s="88"/>
      <c r="G99" s="114"/>
    </row>
    <row r="100">
      <c r="B100" s="87"/>
      <c r="C100" s="88"/>
      <c r="D100" s="88"/>
      <c r="E100" s="88"/>
      <c r="F100" s="88"/>
      <c r="G100" s="114"/>
    </row>
    <row r="101">
      <c r="B101" s="87"/>
      <c r="C101" s="88"/>
      <c r="D101" s="88"/>
      <c r="E101" s="88"/>
      <c r="F101" s="88"/>
      <c r="G101" s="114"/>
    </row>
    <row r="102">
      <c r="B102" s="87"/>
      <c r="C102" s="88"/>
      <c r="D102" s="88"/>
      <c r="E102" s="88"/>
      <c r="F102" s="88"/>
      <c r="G102" s="114"/>
    </row>
    <row r="103">
      <c r="B103" s="87"/>
      <c r="C103" s="88"/>
      <c r="D103" s="88"/>
      <c r="E103" s="88"/>
      <c r="F103" s="88"/>
      <c r="G103" s="114"/>
    </row>
    <row r="104">
      <c r="B104" s="87"/>
      <c r="C104" s="88"/>
      <c r="D104" s="88"/>
      <c r="E104" s="88"/>
      <c r="F104" s="88"/>
      <c r="G104" s="114"/>
    </row>
    <row r="105">
      <c r="B105" s="87"/>
      <c r="C105" s="88"/>
      <c r="D105" s="88"/>
      <c r="E105" s="88"/>
      <c r="F105" s="88"/>
      <c r="G105" s="114"/>
    </row>
    <row r="106">
      <c r="B106" s="87"/>
      <c r="C106" s="88"/>
      <c r="D106" s="88"/>
      <c r="E106" s="88"/>
      <c r="F106" s="88"/>
      <c r="G106" s="114"/>
    </row>
    <row r="107">
      <c r="B107" s="87"/>
      <c r="C107" s="88"/>
      <c r="D107" s="88"/>
      <c r="E107" s="88"/>
      <c r="F107" s="88"/>
      <c r="G107" s="114"/>
    </row>
    <row r="108">
      <c r="B108" s="87"/>
      <c r="C108" s="88"/>
      <c r="D108" s="88"/>
      <c r="E108" s="88"/>
      <c r="F108" s="88"/>
      <c r="G108" s="114"/>
    </row>
    <row r="109">
      <c r="B109" s="87"/>
      <c r="C109" s="88"/>
      <c r="D109" s="88"/>
      <c r="E109" s="88"/>
      <c r="F109" s="88"/>
      <c r="G109" s="114"/>
    </row>
    <row r="110">
      <c r="B110" s="87"/>
      <c r="C110" s="88"/>
      <c r="D110" s="88"/>
      <c r="E110" s="88"/>
      <c r="F110" s="88"/>
      <c r="G110" s="114"/>
    </row>
    <row r="111">
      <c r="B111" s="87"/>
      <c r="C111" s="88"/>
      <c r="D111" s="88"/>
      <c r="E111" s="88"/>
      <c r="F111" s="88"/>
      <c r="G111" s="114"/>
    </row>
    <row r="112">
      <c r="B112" s="87"/>
      <c r="C112" s="88"/>
      <c r="D112" s="88"/>
      <c r="E112" s="88"/>
      <c r="F112" s="88"/>
      <c r="G112" s="114"/>
    </row>
    <row r="113">
      <c r="B113" s="87"/>
      <c r="C113" s="88"/>
      <c r="D113" s="88"/>
      <c r="E113" s="88"/>
      <c r="F113" s="88"/>
      <c r="G113" s="114"/>
    </row>
    <row r="114">
      <c r="B114" s="87"/>
      <c r="C114" s="88"/>
      <c r="D114" s="88"/>
      <c r="E114" s="88"/>
      <c r="F114" s="88"/>
      <c r="G114" s="114"/>
    </row>
    <row r="115">
      <c r="B115" s="87"/>
      <c r="C115" s="88"/>
      <c r="D115" s="88"/>
      <c r="E115" s="88"/>
      <c r="F115" s="88"/>
      <c r="G115" s="114"/>
    </row>
    <row r="116">
      <c r="B116" s="87"/>
      <c r="C116" s="88"/>
      <c r="D116" s="88"/>
      <c r="E116" s="88"/>
      <c r="F116" s="88"/>
      <c r="G116" s="114"/>
    </row>
    <row r="117">
      <c r="B117" s="87"/>
      <c r="C117" s="88"/>
      <c r="D117" s="88"/>
      <c r="E117" s="88"/>
      <c r="F117" s="88"/>
      <c r="G117" s="114"/>
    </row>
    <row r="118">
      <c r="B118" s="87"/>
      <c r="C118" s="88"/>
      <c r="D118" s="88"/>
      <c r="E118" s="88"/>
      <c r="F118" s="88"/>
      <c r="G118" s="114"/>
    </row>
    <row r="119">
      <c r="B119" s="87"/>
      <c r="C119" s="88"/>
      <c r="D119" s="88"/>
      <c r="E119" s="88"/>
      <c r="F119" s="88"/>
      <c r="G119" s="114"/>
    </row>
    <row r="120">
      <c r="B120" s="87"/>
      <c r="C120" s="88"/>
      <c r="D120" s="88"/>
      <c r="E120" s="88"/>
      <c r="F120" s="88"/>
      <c r="G120" s="114"/>
    </row>
    <row r="121">
      <c r="B121" s="87"/>
      <c r="C121" s="88"/>
      <c r="D121" s="88"/>
      <c r="E121" s="88"/>
      <c r="F121" s="88"/>
      <c r="G121" s="114"/>
    </row>
    <row r="122">
      <c r="B122" s="87"/>
      <c r="C122" s="88"/>
      <c r="D122" s="88"/>
      <c r="E122" s="88"/>
      <c r="F122" s="88"/>
      <c r="G122" s="114"/>
    </row>
    <row r="123">
      <c r="B123" s="87"/>
      <c r="C123" s="88"/>
      <c r="D123" s="88"/>
      <c r="E123" s="88"/>
      <c r="F123" s="88"/>
      <c r="G123" s="114"/>
    </row>
    <row r="124">
      <c r="B124" s="87"/>
      <c r="C124" s="88"/>
      <c r="D124" s="88"/>
      <c r="E124" s="88"/>
      <c r="F124" s="88"/>
      <c r="G124" s="114"/>
    </row>
    <row r="125">
      <c r="B125" s="87"/>
      <c r="C125" s="88"/>
      <c r="D125" s="88"/>
      <c r="E125" s="88"/>
      <c r="F125" s="88"/>
      <c r="G125" s="114"/>
    </row>
    <row r="126">
      <c r="B126" s="87"/>
      <c r="C126" s="88"/>
      <c r="D126" s="88"/>
      <c r="E126" s="88"/>
      <c r="F126" s="88"/>
      <c r="G126" s="114"/>
    </row>
    <row r="127">
      <c r="B127" s="87"/>
      <c r="C127" s="88"/>
      <c r="D127" s="88"/>
      <c r="E127" s="88"/>
      <c r="F127" s="88"/>
      <c r="G127" s="114"/>
    </row>
    <row r="128">
      <c r="B128" s="87"/>
      <c r="C128" s="88"/>
      <c r="D128" s="88"/>
      <c r="E128" s="88"/>
      <c r="F128" s="88"/>
      <c r="G128" s="114"/>
    </row>
    <row r="129">
      <c r="B129" s="87"/>
      <c r="C129" s="88"/>
      <c r="D129" s="88"/>
      <c r="E129" s="88"/>
      <c r="F129" s="88"/>
      <c r="G129" s="114"/>
    </row>
    <row r="130">
      <c r="B130" s="87"/>
      <c r="C130" s="88"/>
      <c r="D130" s="88"/>
      <c r="E130" s="88"/>
      <c r="F130" s="88"/>
      <c r="G130" s="114"/>
    </row>
    <row r="131">
      <c r="B131" s="87"/>
      <c r="C131" s="88"/>
      <c r="D131" s="88"/>
      <c r="E131" s="88"/>
      <c r="F131" s="88"/>
      <c r="G131" s="114"/>
    </row>
    <row r="132">
      <c r="B132" s="87"/>
      <c r="C132" s="88"/>
      <c r="D132" s="88"/>
      <c r="E132" s="88"/>
      <c r="F132" s="88"/>
      <c r="G132" s="114"/>
    </row>
    <row r="133">
      <c r="B133" s="87"/>
      <c r="C133" s="88"/>
      <c r="D133" s="88"/>
      <c r="E133" s="88"/>
      <c r="F133" s="88"/>
      <c r="G133" s="114"/>
    </row>
    <row r="134">
      <c r="B134" s="87"/>
      <c r="C134" s="88"/>
      <c r="D134" s="88"/>
      <c r="E134" s="88"/>
      <c r="F134" s="88"/>
      <c r="G134" s="114"/>
    </row>
    <row r="135">
      <c r="B135" s="87"/>
      <c r="C135" s="88"/>
      <c r="D135" s="88"/>
      <c r="E135" s="88"/>
      <c r="F135" s="88"/>
      <c r="G135" s="114"/>
    </row>
    <row r="136">
      <c r="B136" s="87"/>
      <c r="C136" s="88"/>
      <c r="D136" s="88"/>
      <c r="E136" s="88"/>
      <c r="F136" s="88"/>
      <c r="G136" s="114"/>
    </row>
    <row r="137">
      <c r="B137" s="87"/>
      <c r="C137" s="88"/>
      <c r="D137" s="88"/>
      <c r="E137" s="88"/>
      <c r="F137" s="88"/>
      <c r="G137" s="114"/>
    </row>
    <row r="138">
      <c r="B138" s="87"/>
      <c r="C138" s="88"/>
      <c r="D138" s="88"/>
      <c r="E138" s="88"/>
      <c r="F138" s="88"/>
      <c r="G138" s="114"/>
    </row>
    <row r="139">
      <c r="B139" s="87"/>
      <c r="C139" s="88"/>
      <c r="D139" s="88"/>
      <c r="E139" s="88"/>
      <c r="F139" s="88"/>
      <c r="G139" s="114"/>
    </row>
    <row r="140">
      <c r="B140" s="87"/>
      <c r="C140" s="88"/>
      <c r="D140" s="88"/>
      <c r="E140" s="88"/>
      <c r="F140" s="88"/>
      <c r="G140" s="114"/>
    </row>
    <row r="141">
      <c r="B141" s="87"/>
      <c r="C141" s="88"/>
      <c r="D141" s="88"/>
      <c r="E141" s="88"/>
      <c r="F141" s="88"/>
      <c r="G141" s="114"/>
    </row>
    <row r="142">
      <c r="B142" s="87"/>
      <c r="C142" s="88"/>
      <c r="D142" s="88"/>
      <c r="E142" s="88"/>
      <c r="F142" s="88"/>
      <c r="G142" s="114"/>
    </row>
    <row r="143">
      <c r="B143" s="87"/>
      <c r="C143" s="88"/>
      <c r="D143" s="88"/>
      <c r="E143" s="88"/>
      <c r="F143" s="88"/>
      <c r="G143" s="114"/>
    </row>
    <row r="144">
      <c r="B144" s="87"/>
      <c r="C144" s="88"/>
      <c r="D144" s="88"/>
      <c r="E144" s="88"/>
      <c r="F144" s="88"/>
      <c r="G144" s="114"/>
    </row>
    <row r="145">
      <c r="B145" s="87"/>
      <c r="C145" s="88"/>
      <c r="D145" s="88"/>
      <c r="E145" s="88"/>
      <c r="F145" s="88"/>
      <c r="G145" s="114"/>
    </row>
    <row r="146">
      <c r="B146" s="87"/>
      <c r="C146" s="88"/>
      <c r="D146" s="88"/>
      <c r="E146" s="88"/>
      <c r="F146" s="88"/>
      <c r="G146" s="114"/>
    </row>
    <row r="147">
      <c r="B147" s="87"/>
      <c r="C147" s="88"/>
      <c r="D147" s="88"/>
      <c r="E147" s="88"/>
      <c r="F147" s="88"/>
      <c r="G147" s="114"/>
    </row>
    <row r="148">
      <c r="B148" s="87"/>
      <c r="C148" s="88"/>
      <c r="D148" s="88"/>
      <c r="E148" s="88"/>
      <c r="F148" s="88"/>
      <c r="G148" s="114"/>
    </row>
    <row r="149">
      <c r="B149" s="87"/>
      <c r="C149" s="88"/>
      <c r="D149" s="88"/>
      <c r="E149" s="88"/>
      <c r="F149" s="88"/>
      <c r="G149" s="114"/>
    </row>
    <row r="150">
      <c r="B150" s="87"/>
      <c r="C150" s="88"/>
      <c r="D150" s="88"/>
      <c r="E150" s="88"/>
      <c r="F150" s="88"/>
      <c r="G150" s="114"/>
    </row>
    <row r="151">
      <c r="B151" s="87"/>
      <c r="C151" s="88"/>
      <c r="D151" s="88"/>
      <c r="E151" s="88"/>
      <c r="F151" s="88"/>
      <c r="G151" s="114"/>
    </row>
    <row r="152">
      <c r="B152" s="87"/>
      <c r="C152" s="88"/>
      <c r="D152" s="88"/>
      <c r="E152" s="88"/>
      <c r="F152" s="88"/>
      <c r="G152" s="114"/>
    </row>
    <row r="153">
      <c r="B153" s="87"/>
      <c r="C153" s="88"/>
      <c r="D153" s="88"/>
      <c r="E153" s="88"/>
      <c r="F153" s="88"/>
      <c r="G153" s="114"/>
    </row>
    <row r="154">
      <c r="B154" s="87"/>
      <c r="C154" s="88"/>
      <c r="D154" s="88"/>
      <c r="E154" s="88"/>
      <c r="F154" s="88"/>
      <c r="G154" s="114"/>
    </row>
    <row r="155">
      <c r="B155" s="87"/>
      <c r="C155" s="88"/>
      <c r="D155" s="88"/>
      <c r="E155" s="88"/>
      <c r="F155" s="88"/>
      <c r="G155" s="114"/>
    </row>
    <row r="156">
      <c r="B156" s="87"/>
      <c r="C156" s="88"/>
      <c r="D156" s="88"/>
      <c r="E156" s="88"/>
      <c r="F156" s="88"/>
      <c r="G156" s="114"/>
    </row>
    <row r="157">
      <c r="B157" s="87"/>
      <c r="C157" s="88"/>
      <c r="D157" s="88"/>
      <c r="E157" s="88"/>
      <c r="F157" s="88"/>
      <c r="G157" s="114"/>
    </row>
    <row r="158">
      <c r="B158" s="87"/>
      <c r="C158" s="88"/>
      <c r="D158" s="88"/>
      <c r="E158" s="88"/>
      <c r="F158" s="88"/>
      <c r="G158" s="114"/>
    </row>
    <row r="159">
      <c r="B159" s="87"/>
      <c r="C159" s="88"/>
      <c r="D159" s="88"/>
      <c r="E159" s="88"/>
      <c r="F159" s="88"/>
      <c r="G159" s="114"/>
    </row>
    <row r="160">
      <c r="B160" s="87"/>
      <c r="C160" s="88"/>
      <c r="D160" s="88"/>
      <c r="E160" s="88"/>
      <c r="F160" s="88"/>
      <c r="G160" s="114"/>
    </row>
    <row r="161">
      <c r="B161" s="87"/>
      <c r="C161" s="88"/>
      <c r="D161" s="88"/>
      <c r="E161" s="88"/>
      <c r="F161" s="88"/>
      <c r="G161" s="114"/>
    </row>
    <row r="162">
      <c r="B162" s="87"/>
      <c r="C162" s="88"/>
      <c r="D162" s="88"/>
      <c r="E162" s="88"/>
      <c r="F162" s="88"/>
      <c r="G162" s="114"/>
    </row>
    <row r="163">
      <c r="B163" s="87"/>
      <c r="C163" s="88"/>
      <c r="D163" s="88"/>
      <c r="E163" s="88"/>
      <c r="F163" s="88"/>
      <c r="G163" s="114"/>
    </row>
    <row r="164">
      <c r="B164" s="87"/>
      <c r="C164" s="88"/>
      <c r="D164" s="88"/>
      <c r="E164" s="88"/>
      <c r="F164" s="88"/>
      <c r="G164" s="114"/>
    </row>
    <row r="165">
      <c r="B165" s="87"/>
      <c r="C165" s="88"/>
      <c r="D165" s="88"/>
      <c r="E165" s="88"/>
      <c r="F165" s="88"/>
      <c r="G165" s="114"/>
    </row>
    <row r="166">
      <c r="B166" s="87"/>
      <c r="C166" s="88"/>
      <c r="D166" s="88"/>
      <c r="E166" s="88"/>
      <c r="F166" s="88"/>
      <c r="G166" s="114"/>
    </row>
    <row r="167">
      <c r="B167" s="87"/>
      <c r="C167" s="88"/>
      <c r="D167" s="88"/>
      <c r="E167" s="88"/>
      <c r="F167" s="88"/>
      <c r="G167" s="114"/>
    </row>
    <row r="168">
      <c r="B168" s="87"/>
      <c r="C168" s="88"/>
      <c r="D168" s="88"/>
      <c r="E168" s="88"/>
      <c r="F168" s="88"/>
      <c r="G168" s="114"/>
    </row>
    <row r="169">
      <c r="B169" s="87"/>
      <c r="C169" s="88"/>
      <c r="D169" s="88"/>
      <c r="E169" s="88"/>
      <c r="F169" s="88"/>
      <c r="G169" s="114"/>
    </row>
    <row r="170">
      <c r="B170" s="87"/>
      <c r="C170" s="88"/>
      <c r="D170" s="88"/>
      <c r="E170" s="88"/>
      <c r="F170" s="88"/>
      <c r="G170" s="114"/>
    </row>
    <row r="171">
      <c r="B171" s="87"/>
      <c r="C171" s="88"/>
      <c r="D171" s="88"/>
      <c r="E171" s="88"/>
      <c r="F171" s="88"/>
      <c r="G171" s="114"/>
    </row>
    <row r="172">
      <c r="B172" s="87"/>
      <c r="C172" s="88"/>
      <c r="D172" s="88"/>
      <c r="E172" s="88"/>
      <c r="F172" s="88"/>
      <c r="G172" s="114"/>
    </row>
    <row r="173">
      <c r="B173" s="87"/>
      <c r="C173" s="88"/>
      <c r="D173" s="88"/>
      <c r="E173" s="88"/>
      <c r="F173" s="88"/>
      <c r="G173" s="114"/>
    </row>
    <row r="174">
      <c r="B174" s="87"/>
      <c r="C174" s="88"/>
      <c r="D174" s="88"/>
      <c r="E174" s="88"/>
      <c r="F174" s="88"/>
      <c r="G174" s="114"/>
    </row>
    <row r="175">
      <c r="B175" s="87"/>
      <c r="C175" s="88"/>
      <c r="D175" s="88"/>
      <c r="E175" s="88"/>
      <c r="F175" s="88"/>
      <c r="G175" s="114"/>
    </row>
    <row r="176">
      <c r="B176" s="87"/>
      <c r="C176" s="88"/>
      <c r="D176" s="88"/>
      <c r="E176" s="88"/>
      <c r="F176" s="88"/>
      <c r="G176" s="114"/>
    </row>
    <row r="177">
      <c r="B177" s="87"/>
      <c r="C177" s="88"/>
      <c r="D177" s="88"/>
      <c r="E177" s="88"/>
      <c r="F177" s="88"/>
      <c r="G177" s="114"/>
    </row>
    <row r="178">
      <c r="B178" s="87"/>
      <c r="C178" s="88"/>
      <c r="D178" s="88"/>
      <c r="E178" s="88"/>
      <c r="F178" s="88"/>
      <c r="G178" s="114"/>
    </row>
    <row r="179">
      <c r="B179" s="87"/>
      <c r="C179" s="88"/>
      <c r="D179" s="88"/>
      <c r="E179" s="88"/>
      <c r="F179" s="88"/>
      <c r="G179" s="114"/>
    </row>
    <row r="180">
      <c r="B180" s="87"/>
      <c r="C180" s="88"/>
      <c r="D180" s="88"/>
      <c r="E180" s="88"/>
      <c r="F180" s="88"/>
      <c r="G180" s="114"/>
    </row>
    <row r="181">
      <c r="B181" s="87"/>
      <c r="C181" s="88"/>
      <c r="D181" s="88"/>
      <c r="E181" s="88"/>
      <c r="F181" s="88"/>
      <c r="G181" s="114"/>
    </row>
    <row r="182">
      <c r="B182" s="87"/>
      <c r="C182" s="88"/>
      <c r="D182" s="88"/>
      <c r="E182" s="88"/>
      <c r="F182" s="88"/>
      <c r="G182" s="114"/>
    </row>
    <row r="183">
      <c r="B183" s="87"/>
      <c r="C183" s="88"/>
      <c r="D183" s="88"/>
      <c r="E183" s="88"/>
      <c r="F183" s="88"/>
      <c r="G183" s="114"/>
    </row>
    <row r="184">
      <c r="B184" s="87"/>
      <c r="C184" s="88"/>
      <c r="D184" s="88"/>
      <c r="E184" s="88"/>
      <c r="F184" s="88"/>
      <c r="G184" s="114"/>
    </row>
    <row r="185">
      <c r="B185" s="87"/>
      <c r="C185" s="88"/>
      <c r="D185" s="88"/>
      <c r="E185" s="88"/>
      <c r="F185" s="88"/>
      <c r="G185" s="114"/>
    </row>
    <row r="186">
      <c r="B186" s="87"/>
      <c r="C186" s="88"/>
      <c r="D186" s="88"/>
      <c r="E186" s="88"/>
      <c r="F186" s="88"/>
      <c r="G186" s="114"/>
    </row>
    <row r="187">
      <c r="B187" s="87"/>
      <c r="C187" s="88"/>
      <c r="D187" s="88"/>
      <c r="E187" s="88"/>
      <c r="F187" s="88"/>
      <c r="G187" s="114"/>
    </row>
    <row r="188">
      <c r="B188" s="87"/>
      <c r="C188" s="88"/>
      <c r="D188" s="88"/>
      <c r="E188" s="88"/>
      <c r="F188" s="88"/>
      <c r="G188" s="114"/>
    </row>
    <row r="189">
      <c r="B189" s="87"/>
      <c r="C189" s="88"/>
      <c r="D189" s="88"/>
      <c r="E189" s="88"/>
      <c r="F189" s="88"/>
      <c r="G189" s="114"/>
    </row>
    <row r="190">
      <c r="B190" s="87"/>
      <c r="C190" s="88"/>
      <c r="D190" s="88"/>
      <c r="E190" s="88"/>
      <c r="F190" s="88"/>
      <c r="G190" s="114"/>
    </row>
    <row r="191">
      <c r="B191" s="87"/>
      <c r="C191" s="88"/>
      <c r="D191" s="88"/>
      <c r="E191" s="88"/>
      <c r="F191" s="88"/>
      <c r="G191" s="114"/>
    </row>
    <row r="192">
      <c r="B192" s="87"/>
      <c r="C192" s="88"/>
      <c r="D192" s="88"/>
      <c r="E192" s="88"/>
      <c r="F192" s="88"/>
      <c r="G192" s="114"/>
    </row>
    <row r="193">
      <c r="B193" s="87"/>
      <c r="C193" s="88"/>
      <c r="D193" s="88"/>
      <c r="E193" s="88"/>
      <c r="F193" s="88"/>
      <c r="G193" s="114"/>
    </row>
    <row r="194">
      <c r="B194" s="87"/>
      <c r="C194" s="88"/>
      <c r="D194" s="88"/>
      <c r="E194" s="88"/>
      <c r="F194" s="88"/>
      <c r="G194" s="114"/>
    </row>
    <row r="195">
      <c r="B195" s="87"/>
      <c r="C195" s="88"/>
      <c r="D195" s="88"/>
      <c r="E195" s="88"/>
      <c r="F195" s="88"/>
      <c r="G195" s="114"/>
    </row>
    <row r="196">
      <c r="B196" s="87"/>
      <c r="C196" s="88"/>
      <c r="D196" s="88"/>
      <c r="E196" s="88"/>
      <c r="F196" s="88"/>
      <c r="G196" s="114"/>
    </row>
    <row r="197">
      <c r="B197" s="87"/>
      <c r="C197" s="88"/>
      <c r="D197" s="88"/>
      <c r="E197" s="88"/>
      <c r="F197" s="88"/>
      <c r="G197" s="114"/>
    </row>
    <row r="198">
      <c r="B198" s="87"/>
      <c r="C198" s="88"/>
      <c r="D198" s="88"/>
      <c r="E198" s="88"/>
      <c r="F198" s="88"/>
      <c r="G198" s="114"/>
    </row>
    <row r="199">
      <c r="B199" s="87"/>
      <c r="C199" s="88"/>
      <c r="D199" s="88"/>
      <c r="E199" s="88"/>
      <c r="F199" s="88"/>
      <c r="G199" s="114"/>
    </row>
    <row r="200">
      <c r="B200" s="87"/>
      <c r="C200" s="88"/>
      <c r="D200" s="88"/>
      <c r="E200" s="88"/>
      <c r="F200" s="88"/>
      <c r="G200" s="114"/>
    </row>
    <row r="201">
      <c r="B201" s="87"/>
      <c r="C201" s="88"/>
      <c r="D201" s="88"/>
      <c r="E201" s="88"/>
      <c r="F201" s="88"/>
      <c r="G201" s="114"/>
    </row>
    <row r="202">
      <c r="B202" s="87"/>
      <c r="C202" s="88"/>
      <c r="D202" s="88"/>
      <c r="E202" s="88"/>
      <c r="F202" s="88"/>
      <c r="G202" s="114"/>
    </row>
    <row r="203">
      <c r="B203" s="87"/>
      <c r="C203" s="88"/>
      <c r="D203" s="88"/>
      <c r="E203" s="88"/>
      <c r="F203" s="88"/>
      <c r="G203" s="114"/>
    </row>
    <row r="204">
      <c r="B204" s="87"/>
      <c r="C204" s="88"/>
      <c r="D204" s="88"/>
      <c r="E204" s="88"/>
      <c r="F204" s="88"/>
      <c r="G204" s="114"/>
    </row>
    <row r="205">
      <c r="B205" s="87"/>
      <c r="C205" s="88"/>
      <c r="D205" s="88"/>
      <c r="E205" s="88"/>
      <c r="F205" s="88"/>
      <c r="G205" s="114"/>
    </row>
    <row r="206">
      <c r="B206" s="87"/>
      <c r="C206" s="88"/>
      <c r="D206" s="88"/>
      <c r="E206" s="88"/>
      <c r="F206" s="88"/>
      <c r="G206" s="114"/>
    </row>
    <row r="207">
      <c r="B207" s="87"/>
      <c r="C207" s="88"/>
      <c r="D207" s="88"/>
      <c r="E207" s="88"/>
      <c r="F207" s="88"/>
      <c r="G207" s="114"/>
    </row>
    <row r="208">
      <c r="B208" s="87"/>
      <c r="C208" s="88"/>
      <c r="D208" s="88"/>
      <c r="E208" s="88"/>
      <c r="F208" s="88"/>
      <c r="G208" s="114"/>
    </row>
    <row r="209">
      <c r="B209" s="87"/>
      <c r="C209" s="88"/>
      <c r="D209" s="88"/>
      <c r="E209" s="88"/>
      <c r="F209" s="88"/>
      <c r="G209" s="114"/>
    </row>
    <row r="210">
      <c r="B210" s="87"/>
      <c r="C210" s="88"/>
      <c r="D210" s="88"/>
      <c r="E210" s="88"/>
      <c r="F210" s="88"/>
      <c r="G210" s="114"/>
    </row>
    <row r="211">
      <c r="B211" s="87"/>
      <c r="C211" s="88"/>
      <c r="D211" s="88"/>
      <c r="E211" s="88"/>
      <c r="F211" s="88"/>
      <c r="G211" s="114"/>
    </row>
    <row r="212">
      <c r="B212" s="87"/>
      <c r="C212" s="88"/>
      <c r="D212" s="88"/>
      <c r="E212" s="88"/>
      <c r="F212" s="88"/>
      <c r="G212" s="114"/>
    </row>
    <row r="213">
      <c r="B213" s="87"/>
      <c r="C213" s="88"/>
      <c r="D213" s="88"/>
      <c r="E213" s="88"/>
      <c r="F213" s="88"/>
      <c r="G213" s="114"/>
    </row>
    <row r="214">
      <c r="B214" s="87"/>
      <c r="C214" s="88"/>
      <c r="D214" s="88"/>
      <c r="E214" s="88"/>
      <c r="F214" s="88"/>
      <c r="G214" s="114"/>
    </row>
    <row r="215">
      <c r="B215" s="87"/>
      <c r="C215" s="88"/>
      <c r="D215" s="88"/>
      <c r="E215" s="88"/>
      <c r="F215" s="88"/>
      <c r="G215" s="114"/>
    </row>
    <row r="216">
      <c r="B216" s="87"/>
      <c r="C216" s="88"/>
      <c r="D216" s="88"/>
      <c r="E216" s="88"/>
      <c r="F216" s="88"/>
      <c r="G216" s="114"/>
    </row>
    <row r="217">
      <c r="B217" s="87"/>
      <c r="C217" s="88"/>
      <c r="D217" s="88"/>
      <c r="E217" s="88"/>
      <c r="F217" s="88"/>
      <c r="G217" s="114"/>
    </row>
    <row r="218">
      <c r="B218" s="87"/>
      <c r="C218" s="88"/>
      <c r="D218" s="88"/>
      <c r="E218" s="88"/>
      <c r="F218" s="88"/>
      <c r="G218" s="114"/>
    </row>
    <row r="219">
      <c r="B219" s="87"/>
      <c r="C219" s="88"/>
      <c r="D219" s="88"/>
      <c r="E219" s="88"/>
      <c r="F219" s="88"/>
      <c r="G219" s="114"/>
    </row>
    <row r="220">
      <c r="B220" s="87"/>
      <c r="C220" s="88"/>
      <c r="D220" s="88"/>
      <c r="E220" s="88"/>
      <c r="F220" s="88"/>
      <c r="G220" s="114"/>
    </row>
    <row r="221">
      <c r="B221" s="87"/>
      <c r="C221" s="88"/>
      <c r="D221" s="88"/>
      <c r="E221" s="88"/>
      <c r="F221" s="88"/>
      <c r="G221" s="114"/>
    </row>
    <row r="222">
      <c r="B222" s="87"/>
      <c r="C222" s="88"/>
      <c r="D222" s="88"/>
      <c r="E222" s="88"/>
      <c r="F222" s="88"/>
      <c r="G222" s="114"/>
    </row>
    <row r="223">
      <c r="B223" s="87"/>
      <c r="C223" s="88"/>
      <c r="D223" s="88"/>
      <c r="E223" s="88"/>
      <c r="F223" s="88"/>
      <c r="G223" s="114"/>
    </row>
    <row r="224">
      <c r="B224" s="87"/>
      <c r="C224" s="88"/>
      <c r="D224" s="88"/>
      <c r="E224" s="88"/>
      <c r="F224" s="88"/>
      <c r="G224" s="114"/>
    </row>
    <row r="225">
      <c r="B225" s="87"/>
      <c r="C225" s="88"/>
      <c r="D225" s="88"/>
      <c r="E225" s="88"/>
      <c r="F225" s="88"/>
      <c r="G225" s="114"/>
    </row>
    <row r="226">
      <c r="B226" s="87"/>
      <c r="C226" s="88"/>
      <c r="D226" s="88"/>
      <c r="E226" s="88"/>
      <c r="F226" s="88"/>
      <c r="G226" s="114"/>
    </row>
    <row r="227">
      <c r="B227" s="87"/>
      <c r="C227" s="88"/>
      <c r="D227" s="88"/>
      <c r="E227" s="88"/>
      <c r="F227" s="88"/>
      <c r="G227" s="114"/>
    </row>
    <row r="228">
      <c r="B228" s="87"/>
      <c r="C228" s="88"/>
      <c r="D228" s="88"/>
      <c r="E228" s="88"/>
      <c r="F228" s="88"/>
      <c r="G228" s="114"/>
    </row>
    <row r="229">
      <c r="B229" s="87"/>
      <c r="C229" s="88"/>
      <c r="D229" s="88"/>
      <c r="E229" s="88"/>
      <c r="F229" s="88"/>
      <c r="G229" s="114"/>
    </row>
    <row r="230">
      <c r="B230" s="87"/>
      <c r="C230" s="88"/>
      <c r="D230" s="88"/>
      <c r="E230" s="88"/>
      <c r="F230" s="88"/>
      <c r="G230" s="114"/>
    </row>
    <row r="231">
      <c r="B231" s="87"/>
      <c r="C231" s="88"/>
      <c r="D231" s="88"/>
      <c r="E231" s="88"/>
      <c r="F231" s="88"/>
      <c r="G231" s="114"/>
    </row>
    <row r="232">
      <c r="B232" s="87"/>
      <c r="C232" s="88"/>
      <c r="D232" s="88"/>
      <c r="E232" s="88"/>
      <c r="F232" s="88"/>
      <c r="G232" s="114"/>
    </row>
    <row r="233">
      <c r="B233" s="87"/>
      <c r="C233" s="88"/>
      <c r="D233" s="88"/>
      <c r="E233" s="88"/>
      <c r="F233" s="88"/>
      <c r="G233" s="114"/>
    </row>
    <row r="234">
      <c r="B234" s="87"/>
      <c r="C234" s="88"/>
      <c r="D234" s="88"/>
      <c r="E234" s="88"/>
      <c r="F234" s="88"/>
      <c r="G234" s="114"/>
    </row>
    <row r="235">
      <c r="B235" s="87"/>
      <c r="C235" s="88"/>
      <c r="D235" s="88"/>
      <c r="E235" s="88"/>
      <c r="F235" s="88"/>
      <c r="G235" s="114"/>
    </row>
    <row r="236">
      <c r="B236" s="87"/>
      <c r="C236" s="88"/>
      <c r="D236" s="88"/>
      <c r="E236" s="88"/>
      <c r="F236" s="88"/>
      <c r="G236" s="114"/>
    </row>
    <row r="237">
      <c r="B237" s="87"/>
      <c r="C237" s="88"/>
      <c r="D237" s="88"/>
      <c r="E237" s="88"/>
      <c r="F237" s="88"/>
      <c r="G237" s="114"/>
    </row>
    <row r="238">
      <c r="B238" s="87"/>
      <c r="C238" s="88"/>
      <c r="D238" s="88"/>
      <c r="E238" s="88"/>
      <c r="F238" s="88"/>
      <c r="G238" s="114"/>
    </row>
    <row r="239">
      <c r="B239" s="87"/>
      <c r="C239" s="88"/>
      <c r="D239" s="88"/>
      <c r="E239" s="88"/>
      <c r="F239" s="88"/>
      <c r="G239" s="114"/>
    </row>
    <row r="240">
      <c r="B240" s="87"/>
      <c r="C240" s="88"/>
      <c r="D240" s="88"/>
      <c r="E240" s="88"/>
      <c r="F240" s="88"/>
      <c r="G240" s="114"/>
    </row>
    <row r="241">
      <c r="B241" s="87"/>
      <c r="C241" s="88"/>
      <c r="D241" s="88"/>
      <c r="E241" s="88"/>
      <c r="F241" s="88"/>
      <c r="G241" s="114"/>
    </row>
    <row r="242">
      <c r="B242" s="87"/>
      <c r="C242" s="88"/>
      <c r="D242" s="88"/>
      <c r="E242" s="88"/>
      <c r="F242" s="88"/>
      <c r="G242" s="114"/>
    </row>
    <row r="243">
      <c r="B243" s="87"/>
      <c r="C243" s="88"/>
      <c r="D243" s="88"/>
      <c r="E243" s="88"/>
      <c r="F243" s="88"/>
      <c r="G243" s="114"/>
    </row>
    <row r="244">
      <c r="B244" s="87"/>
      <c r="C244" s="88"/>
      <c r="D244" s="88"/>
      <c r="E244" s="88"/>
      <c r="F244" s="88"/>
      <c r="G244" s="114"/>
    </row>
    <row r="245">
      <c r="B245" s="87"/>
      <c r="C245" s="88"/>
      <c r="D245" s="88"/>
      <c r="E245" s="88"/>
      <c r="F245" s="88"/>
      <c r="G245" s="114"/>
    </row>
    <row r="246">
      <c r="B246" s="87"/>
      <c r="C246" s="88"/>
      <c r="D246" s="88"/>
      <c r="E246" s="88"/>
      <c r="F246" s="88"/>
      <c r="G246" s="114"/>
    </row>
    <row r="247">
      <c r="B247" s="87"/>
      <c r="C247" s="88"/>
      <c r="D247" s="88"/>
      <c r="E247" s="88"/>
      <c r="F247" s="88"/>
      <c r="G247" s="114"/>
    </row>
    <row r="248">
      <c r="B248" s="87"/>
      <c r="C248" s="88"/>
      <c r="D248" s="88"/>
      <c r="E248" s="88"/>
      <c r="F248" s="88"/>
      <c r="G248" s="114"/>
    </row>
    <row r="249">
      <c r="B249" s="87"/>
      <c r="C249" s="88"/>
      <c r="D249" s="88"/>
      <c r="E249" s="88"/>
      <c r="F249" s="88"/>
      <c r="G249" s="114"/>
    </row>
    <row r="250">
      <c r="B250" s="87"/>
      <c r="C250" s="88"/>
      <c r="D250" s="88"/>
      <c r="E250" s="88"/>
      <c r="F250" s="88"/>
      <c r="G250" s="114"/>
    </row>
    <row r="251">
      <c r="B251" s="87"/>
      <c r="C251" s="88"/>
      <c r="D251" s="88"/>
      <c r="E251" s="88"/>
      <c r="F251" s="88"/>
      <c r="G251" s="114"/>
    </row>
    <row r="252">
      <c r="B252" s="87"/>
      <c r="C252" s="88"/>
      <c r="D252" s="88"/>
      <c r="E252" s="88"/>
      <c r="F252" s="88"/>
      <c r="G252" s="114"/>
    </row>
    <row r="253">
      <c r="B253" s="87"/>
      <c r="C253" s="88"/>
      <c r="D253" s="88"/>
      <c r="E253" s="88"/>
      <c r="F253" s="88"/>
      <c r="G253" s="114"/>
    </row>
    <row r="254">
      <c r="B254" s="87"/>
      <c r="C254" s="88"/>
      <c r="D254" s="88"/>
      <c r="E254" s="88"/>
      <c r="F254" s="88"/>
      <c r="G254" s="114"/>
    </row>
    <row r="255">
      <c r="B255" s="87"/>
      <c r="C255" s="88"/>
      <c r="D255" s="88"/>
      <c r="E255" s="88"/>
      <c r="F255" s="88"/>
      <c r="G255" s="114"/>
    </row>
    <row r="256">
      <c r="B256" s="87"/>
      <c r="C256" s="88"/>
      <c r="D256" s="88"/>
      <c r="E256" s="88"/>
      <c r="F256" s="88"/>
      <c r="G256" s="114"/>
    </row>
    <row r="257">
      <c r="B257" s="87"/>
      <c r="C257" s="88"/>
      <c r="D257" s="88"/>
      <c r="E257" s="88"/>
      <c r="F257" s="88"/>
      <c r="G257" s="114"/>
    </row>
    <row r="258">
      <c r="B258" s="87"/>
      <c r="C258" s="88"/>
      <c r="D258" s="88"/>
      <c r="E258" s="88"/>
      <c r="F258" s="88"/>
      <c r="G258" s="114"/>
    </row>
    <row r="259">
      <c r="B259" s="87"/>
      <c r="C259" s="88"/>
      <c r="D259" s="88"/>
      <c r="E259" s="88"/>
      <c r="F259" s="88"/>
      <c r="G259" s="114"/>
    </row>
    <row r="260">
      <c r="B260" s="87"/>
      <c r="C260" s="88"/>
      <c r="D260" s="88"/>
      <c r="E260" s="88"/>
      <c r="F260" s="88"/>
      <c r="G260" s="114"/>
    </row>
    <row r="261">
      <c r="B261" s="87"/>
      <c r="C261" s="88"/>
      <c r="D261" s="88"/>
      <c r="E261" s="88"/>
      <c r="F261" s="88"/>
      <c r="G261" s="114"/>
    </row>
    <row r="262">
      <c r="B262" s="87"/>
      <c r="C262" s="88"/>
      <c r="D262" s="88"/>
      <c r="E262" s="88"/>
      <c r="F262" s="88"/>
      <c r="G262" s="114"/>
    </row>
    <row r="263">
      <c r="B263" s="87"/>
      <c r="C263" s="88"/>
      <c r="D263" s="88"/>
      <c r="E263" s="88"/>
      <c r="F263" s="88"/>
      <c r="G263" s="114"/>
    </row>
    <row r="264">
      <c r="B264" s="87"/>
      <c r="C264" s="88"/>
      <c r="D264" s="88"/>
      <c r="E264" s="88"/>
      <c r="F264" s="88"/>
      <c r="G264" s="114"/>
    </row>
    <row r="265">
      <c r="B265" s="87"/>
      <c r="C265" s="88"/>
      <c r="D265" s="88"/>
      <c r="E265" s="88"/>
      <c r="F265" s="88"/>
      <c r="G265" s="114"/>
    </row>
    <row r="266">
      <c r="B266" s="87"/>
      <c r="C266" s="88"/>
      <c r="D266" s="88"/>
      <c r="E266" s="88"/>
      <c r="F266" s="88"/>
      <c r="G266" s="114"/>
    </row>
    <row r="267">
      <c r="B267" s="87"/>
      <c r="C267" s="88"/>
      <c r="D267" s="88"/>
      <c r="E267" s="88"/>
      <c r="F267" s="88"/>
      <c r="G267" s="114"/>
    </row>
    <row r="268">
      <c r="B268" s="87"/>
      <c r="C268" s="88"/>
      <c r="D268" s="88"/>
      <c r="E268" s="88"/>
      <c r="F268" s="88"/>
      <c r="G268" s="114"/>
    </row>
    <row r="269">
      <c r="B269" s="87"/>
      <c r="C269" s="88"/>
      <c r="D269" s="88"/>
      <c r="E269" s="88"/>
      <c r="F269" s="88"/>
      <c r="G269" s="114"/>
    </row>
    <row r="270">
      <c r="B270" s="87"/>
      <c r="C270" s="88"/>
      <c r="D270" s="88"/>
      <c r="E270" s="88"/>
      <c r="F270" s="88"/>
      <c r="G270" s="114"/>
    </row>
    <row r="271">
      <c r="B271" s="87"/>
      <c r="C271" s="88"/>
      <c r="D271" s="88"/>
      <c r="E271" s="88"/>
      <c r="F271" s="88"/>
      <c r="G271" s="114"/>
    </row>
    <row r="272">
      <c r="B272" s="87"/>
      <c r="C272" s="88"/>
      <c r="D272" s="88"/>
      <c r="E272" s="88"/>
      <c r="F272" s="88"/>
      <c r="G272" s="114"/>
    </row>
    <row r="273">
      <c r="B273" s="87"/>
      <c r="C273" s="88"/>
      <c r="D273" s="88"/>
      <c r="E273" s="88"/>
      <c r="F273" s="88"/>
      <c r="G273" s="114"/>
    </row>
    <row r="274">
      <c r="B274" s="87"/>
      <c r="C274" s="88"/>
      <c r="D274" s="88"/>
      <c r="E274" s="88"/>
      <c r="F274" s="88"/>
      <c r="G274" s="114"/>
    </row>
    <row r="275">
      <c r="B275" s="87"/>
      <c r="C275" s="88"/>
      <c r="D275" s="88"/>
      <c r="E275" s="88"/>
      <c r="F275" s="88"/>
      <c r="G275" s="114"/>
    </row>
    <row r="276">
      <c r="B276" s="87"/>
      <c r="C276" s="88"/>
      <c r="D276" s="88"/>
      <c r="E276" s="88"/>
      <c r="F276" s="88"/>
      <c r="G276" s="114"/>
    </row>
    <row r="277">
      <c r="B277" s="87"/>
      <c r="C277" s="88"/>
      <c r="D277" s="88"/>
      <c r="E277" s="88"/>
      <c r="F277" s="88"/>
      <c r="G277" s="114"/>
    </row>
    <row r="278">
      <c r="B278" s="87"/>
      <c r="C278" s="88"/>
      <c r="D278" s="88"/>
      <c r="E278" s="88"/>
      <c r="F278" s="88"/>
      <c r="G278" s="114"/>
    </row>
    <row r="279">
      <c r="B279" s="87"/>
      <c r="C279" s="88"/>
      <c r="D279" s="88"/>
      <c r="E279" s="88"/>
      <c r="F279" s="88"/>
      <c r="G279" s="114"/>
    </row>
    <row r="280">
      <c r="B280" s="87"/>
      <c r="C280" s="88"/>
      <c r="D280" s="88"/>
      <c r="E280" s="88"/>
      <c r="F280" s="88"/>
      <c r="G280" s="114"/>
    </row>
    <row r="281">
      <c r="B281" s="87"/>
      <c r="C281" s="88"/>
      <c r="D281" s="88"/>
      <c r="E281" s="88"/>
      <c r="F281" s="88"/>
      <c r="G281" s="114"/>
    </row>
    <row r="282">
      <c r="B282" s="87"/>
      <c r="C282" s="88"/>
      <c r="D282" s="88"/>
      <c r="E282" s="88"/>
      <c r="F282" s="88"/>
      <c r="G282" s="114"/>
    </row>
    <row r="283">
      <c r="B283" s="87"/>
      <c r="C283" s="88"/>
      <c r="D283" s="88"/>
      <c r="E283" s="88"/>
      <c r="F283" s="88"/>
      <c r="G283" s="114"/>
    </row>
    <row r="284">
      <c r="B284" s="87"/>
      <c r="C284" s="88"/>
      <c r="D284" s="88"/>
      <c r="E284" s="88"/>
      <c r="F284" s="88"/>
      <c r="G284" s="114"/>
    </row>
    <row r="285">
      <c r="B285" s="87"/>
      <c r="C285" s="88"/>
      <c r="D285" s="88"/>
      <c r="E285" s="88"/>
      <c r="F285" s="88"/>
      <c r="G285" s="114"/>
    </row>
    <row r="286">
      <c r="B286" s="87"/>
      <c r="C286" s="88"/>
      <c r="D286" s="88"/>
      <c r="E286" s="88"/>
      <c r="F286" s="88"/>
      <c r="G286" s="114"/>
    </row>
    <row r="287">
      <c r="B287" s="87"/>
      <c r="C287" s="88"/>
      <c r="D287" s="88"/>
      <c r="E287" s="88"/>
      <c r="F287" s="88"/>
      <c r="G287" s="114"/>
    </row>
    <row r="288">
      <c r="B288" s="87"/>
      <c r="C288" s="88"/>
      <c r="D288" s="88"/>
      <c r="E288" s="88"/>
      <c r="F288" s="88"/>
      <c r="G288" s="114"/>
    </row>
    <row r="289">
      <c r="B289" s="87"/>
      <c r="C289" s="88"/>
      <c r="D289" s="88"/>
      <c r="E289" s="88"/>
      <c r="F289" s="88"/>
      <c r="G289" s="114"/>
    </row>
    <row r="290">
      <c r="B290" s="87"/>
      <c r="C290" s="88"/>
      <c r="D290" s="88"/>
      <c r="E290" s="88"/>
      <c r="F290" s="88"/>
      <c r="G290" s="114"/>
    </row>
    <row r="291">
      <c r="B291" s="87"/>
      <c r="C291" s="88"/>
      <c r="D291" s="88"/>
      <c r="E291" s="88"/>
      <c r="F291" s="88"/>
      <c r="G291" s="114"/>
    </row>
    <row r="292">
      <c r="B292" s="87"/>
      <c r="C292" s="88"/>
      <c r="D292" s="88"/>
      <c r="E292" s="88"/>
      <c r="F292" s="88"/>
      <c r="G292" s="114"/>
    </row>
    <row r="293">
      <c r="B293" s="87"/>
      <c r="C293" s="88"/>
      <c r="D293" s="88"/>
      <c r="E293" s="88"/>
      <c r="F293" s="88"/>
      <c r="G293" s="114"/>
    </row>
    <row r="294">
      <c r="B294" s="87"/>
      <c r="C294" s="88"/>
      <c r="D294" s="88"/>
      <c r="E294" s="88"/>
      <c r="F294" s="88"/>
      <c r="G294" s="114"/>
    </row>
    <row r="295">
      <c r="B295" s="87"/>
      <c r="C295" s="88"/>
      <c r="D295" s="88"/>
      <c r="E295" s="88"/>
      <c r="F295" s="88"/>
      <c r="G295" s="114"/>
    </row>
    <row r="296">
      <c r="B296" s="87"/>
      <c r="C296" s="88"/>
      <c r="D296" s="88"/>
      <c r="E296" s="88"/>
      <c r="F296" s="88"/>
      <c r="G296" s="114"/>
    </row>
    <row r="297">
      <c r="B297" s="87"/>
      <c r="C297" s="88"/>
      <c r="D297" s="88"/>
      <c r="E297" s="88"/>
      <c r="F297" s="88"/>
      <c r="G297" s="114"/>
    </row>
    <row r="298">
      <c r="B298" s="87"/>
      <c r="C298" s="88"/>
      <c r="D298" s="88"/>
      <c r="E298" s="88"/>
      <c r="F298" s="88"/>
      <c r="G298" s="114"/>
    </row>
    <row r="299">
      <c r="B299" s="87"/>
      <c r="C299" s="88"/>
      <c r="D299" s="88"/>
      <c r="E299" s="88"/>
      <c r="F299" s="88"/>
      <c r="G299" s="114"/>
    </row>
    <row r="300">
      <c r="B300" s="87"/>
      <c r="C300" s="88"/>
      <c r="D300" s="88"/>
      <c r="E300" s="88"/>
      <c r="F300" s="88"/>
      <c r="G300" s="114"/>
    </row>
    <row r="301">
      <c r="B301" s="87"/>
      <c r="C301" s="88"/>
      <c r="D301" s="88"/>
      <c r="E301" s="88"/>
      <c r="F301" s="88"/>
      <c r="G301" s="114"/>
    </row>
    <row r="302">
      <c r="B302" s="87"/>
      <c r="C302" s="88"/>
      <c r="D302" s="88"/>
      <c r="E302" s="88"/>
      <c r="F302" s="88"/>
      <c r="G302" s="114"/>
    </row>
    <row r="303">
      <c r="B303" s="87"/>
      <c r="C303" s="88"/>
      <c r="D303" s="88"/>
      <c r="E303" s="88"/>
      <c r="F303" s="88"/>
      <c r="G303" s="114"/>
    </row>
    <row r="304">
      <c r="B304" s="87"/>
      <c r="C304" s="88"/>
      <c r="D304" s="88"/>
      <c r="E304" s="88"/>
      <c r="F304" s="88"/>
      <c r="G304" s="114"/>
    </row>
    <row r="305">
      <c r="B305" s="87"/>
      <c r="C305" s="88"/>
      <c r="D305" s="88"/>
      <c r="E305" s="88"/>
      <c r="F305" s="88"/>
      <c r="G305" s="114"/>
    </row>
    <row r="306">
      <c r="B306" s="87"/>
      <c r="C306" s="88"/>
      <c r="D306" s="88"/>
      <c r="E306" s="88"/>
      <c r="F306" s="88"/>
      <c r="G306" s="114"/>
    </row>
    <row r="307">
      <c r="B307" s="87"/>
      <c r="C307" s="88"/>
      <c r="D307" s="88"/>
      <c r="E307" s="88"/>
      <c r="F307" s="88"/>
      <c r="G307" s="114"/>
    </row>
    <row r="308">
      <c r="B308" s="87"/>
      <c r="C308" s="88"/>
      <c r="D308" s="88"/>
      <c r="E308" s="88"/>
      <c r="F308" s="88"/>
      <c r="G308" s="114"/>
    </row>
    <row r="309">
      <c r="B309" s="87"/>
      <c r="C309" s="88"/>
      <c r="D309" s="88"/>
      <c r="E309" s="88"/>
      <c r="F309" s="88"/>
      <c r="G309" s="114"/>
    </row>
    <row r="310">
      <c r="B310" s="87"/>
      <c r="C310" s="88"/>
      <c r="D310" s="88"/>
      <c r="E310" s="88"/>
      <c r="F310" s="88"/>
      <c r="G310" s="114"/>
    </row>
    <row r="311">
      <c r="B311" s="87"/>
      <c r="C311" s="88"/>
      <c r="D311" s="88"/>
      <c r="E311" s="88"/>
      <c r="F311" s="88"/>
      <c r="G311" s="114"/>
    </row>
    <row r="312">
      <c r="B312" s="87"/>
      <c r="C312" s="88"/>
      <c r="D312" s="88"/>
      <c r="E312" s="88"/>
      <c r="F312" s="88"/>
      <c r="G312" s="114"/>
    </row>
    <row r="313">
      <c r="B313" s="87"/>
      <c r="C313" s="88"/>
      <c r="D313" s="88"/>
      <c r="E313" s="88"/>
      <c r="F313" s="88"/>
      <c r="G313" s="114"/>
    </row>
    <row r="314">
      <c r="B314" s="87"/>
      <c r="C314" s="88"/>
      <c r="D314" s="88"/>
      <c r="E314" s="88"/>
      <c r="F314" s="88"/>
      <c r="G314" s="114"/>
    </row>
    <row r="315">
      <c r="B315" s="87"/>
      <c r="C315" s="88"/>
      <c r="D315" s="88"/>
      <c r="E315" s="88"/>
      <c r="F315" s="88"/>
      <c r="G315" s="114"/>
    </row>
    <row r="316">
      <c r="B316" s="87"/>
      <c r="C316" s="88"/>
      <c r="D316" s="88"/>
      <c r="E316" s="88"/>
      <c r="F316" s="88"/>
      <c r="G316" s="114"/>
    </row>
    <row r="317">
      <c r="B317" s="87"/>
      <c r="C317" s="88"/>
      <c r="D317" s="88"/>
      <c r="E317" s="88"/>
      <c r="F317" s="88"/>
      <c r="G317" s="114"/>
    </row>
    <row r="318">
      <c r="B318" s="87"/>
      <c r="C318" s="88"/>
      <c r="D318" s="88"/>
      <c r="E318" s="88"/>
      <c r="F318" s="88"/>
      <c r="G318" s="114"/>
    </row>
    <row r="319">
      <c r="B319" s="87"/>
      <c r="C319" s="88"/>
      <c r="D319" s="88"/>
      <c r="E319" s="88"/>
      <c r="F319" s="88"/>
      <c r="G319" s="114"/>
    </row>
    <row r="320">
      <c r="B320" s="87"/>
      <c r="C320" s="88"/>
      <c r="D320" s="88"/>
      <c r="E320" s="88"/>
      <c r="F320" s="88"/>
      <c r="G320" s="114"/>
    </row>
    <row r="321">
      <c r="B321" s="87"/>
      <c r="C321" s="88"/>
      <c r="D321" s="88"/>
      <c r="E321" s="88"/>
      <c r="F321" s="88"/>
      <c r="G321" s="114"/>
    </row>
    <row r="322">
      <c r="B322" s="87"/>
      <c r="C322" s="88"/>
      <c r="D322" s="88"/>
      <c r="E322" s="88"/>
      <c r="F322" s="88"/>
      <c r="G322" s="114"/>
    </row>
    <row r="323">
      <c r="B323" s="87"/>
      <c r="C323" s="88"/>
      <c r="D323" s="88"/>
      <c r="E323" s="88"/>
      <c r="F323" s="88"/>
      <c r="G323" s="114"/>
    </row>
    <row r="324">
      <c r="B324" s="87"/>
      <c r="C324" s="88"/>
      <c r="D324" s="88"/>
      <c r="E324" s="88"/>
      <c r="F324" s="88"/>
      <c r="G324" s="114"/>
    </row>
    <row r="325">
      <c r="B325" s="87"/>
      <c r="C325" s="88"/>
      <c r="D325" s="88"/>
      <c r="E325" s="88"/>
      <c r="F325" s="88"/>
      <c r="G325" s="114"/>
    </row>
    <row r="326">
      <c r="B326" s="87"/>
      <c r="C326" s="88"/>
      <c r="D326" s="88"/>
      <c r="E326" s="88"/>
      <c r="F326" s="88"/>
      <c r="G326" s="114"/>
    </row>
    <row r="327">
      <c r="B327" s="87"/>
      <c r="C327" s="88"/>
      <c r="D327" s="88"/>
      <c r="E327" s="88"/>
      <c r="F327" s="88"/>
      <c r="G327" s="114"/>
    </row>
    <row r="328">
      <c r="B328" s="87"/>
      <c r="C328" s="88"/>
      <c r="D328" s="88"/>
      <c r="E328" s="88"/>
      <c r="F328" s="88"/>
      <c r="G328" s="114"/>
    </row>
    <row r="329">
      <c r="B329" s="87"/>
      <c r="C329" s="88"/>
      <c r="D329" s="88"/>
      <c r="E329" s="88"/>
      <c r="F329" s="88"/>
      <c r="G329" s="114"/>
    </row>
    <row r="330">
      <c r="B330" s="87"/>
      <c r="C330" s="88"/>
      <c r="D330" s="88"/>
      <c r="E330" s="88"/>
      <c r="F330" s="88"/>
      <c r="G330" s="114"/>
    </row>
    <row r="331">
      <c r="B331" s="87"/>
      <c r="C331" s="88"/>
      <c r="D331" s="88"/>
      <c r="E331" s="88"/>
      <c r="F331" s="88"/>
      <c r="G331" s="114"/>
    </row>
    <row r="332">
      <c r="B332" s="87"/>
      <c r="C332" s="88"/>
      <c r="D332" s="88"/>
      <c r="E332" s="88"/>
      <c r="F332" s="88"/>
      <c r="G332" s="114"/>
    </row>
    <row r="333">
      <c r="B333" s="87"/>
      <c r="C333" s="88"/>
      <c r="D333" s="88"/>
      <c r="E333" s="88"/>
      <c r="F333" s="88"/>
      <c r="G333" s="114"/>
    </row>
    <row r="334">
      <c r="B334" s="87"/>
      <c r="C334" s="88"/>
      <c r="D334" s="88"/>
      <c r="E334" s="88"/>
      <c r="F334" s="88"/>
      <c r="G334" s="114"/>
    </row>
    <row r="335">
      <c r="B335" s="87"/>
      <c r="C335" s="88"/>
      <c r="D335" s="88"/>
      <c r="E335" s="88"/>
      <c r="F335" s="88"/>
      <c r="G335" s="114"/>
    </row>
    <row r="336">
      <c r="B336" s="87"/>
      <c r="C336" s="88"/>
      <c r="D336" s="88"/>
      <c r="E336" s="88"/>
      <c r="F336" s="88"/>
      <c r="G336" s="114"/>
    </row>
    <row r="337">
      <c r="B337" s="87"/>
      <c r="C337" s="88"/>
      <c r="D337" s="88"/>
      <c r="E337" s="88"/>
      <c r="F337" s="88"/>
      <c r="G337" s="114"/>
    </row>
    <row r="338">
      <c r="B338" s="87"/>
      <c r="C338" s="88"/>
      <c r="D338" s="88"/>
      <c r="E338" s="88"/>
      <c r="F338" s="88"/>
      <c r="G338" s="114"/>
    </row>
    <row r="339">
      <c r="B339" s="87"/>
      <c r="C339" s="88"/>
      <c r="D339" s="88"/>
      <c r="E339" s="88"/>
      <c r="F339" s="88"/>
      <c r="G339" s="114"/>
    </row>
    <row r="340">
      <c r="B340" s="87"/>
      <c r="C340" s="88"/>
      <c r="D340" s="88"/>
      <c r="E340" s="88"/>
      <c r="F340" s="88"/>
      <c r="G340" s="114"/>
    </row>
    <row r="341">
      <c r="B341" s="87"/>
      <c r="C341" s="88"/>
      <c r="D341" s="88"/>
      <c r="E341" s="88"/>
      <c r="F341" s="88"/>
      <c r="G341" s="114"/>
    </row>
    <row r="342">
      <c r="B342" s="87"/>
      <c r="C342" s="88"/>
      <c r="D342" s="88"/>
      <c r="E342" s="88"/>
      <c r="F342" s="88"/>
      <c r="G342" s="114"/>
    </row>
    <row r="343">
      <c r="B343" s="87"/>
      <c r="C343" s="88"/>
      <c r="D343" s="88"/>
      <c r="E343" s="88"/>
      <c r="F343" s="88"/>
      <c r="G343" s="114"/>
    </row>
    <row r="344">
      <c r="B344" s="87"/>
      <c r="C344" s="88"/>
      <c r="D344" s="88"/>
      <c r="E344" s="88"/>
      <c r="F344" s="88"/>
      <c r="G344" s="114"/>
    </row>
    <row r="345">
      <c r="B345" s="87"/>
      <c r="C345" s="88"/>
      <c r="D345" s="88"/>
      <c r="E345" s="88"/>
      <c r="F345" s="88"/>
      <c r="G345" s="114"/>
    </row>
    <row r="346">
      <c r="B346" s="87"/>
      <c r="C346" s="88"/>
      <c r="D346" s="88"/>
      <c r="E346" s="88"/>
      <c r="F346" s="88"/>
      <c r="G346" s="114"/>
    </row>
    <row r="347">
      <c r="B347" s="87"/>
      <c r="C347" s="88"/>
      <c r="D347" s="88"/>
      <c r="E347" s="88"/>
      <c r="F347" s="88"/>
      <c r="G347" s="114"/>
    </row>
    <row r="348">
      <c r="B348" s="87"/>
      <c r="C348" s="88"/>
      <c r="D348" s="88"/>
      <c r="E348" s="88"/>
      <c r="F348" s="88"/>
      <c r="G348" s="114"/>
    </row>
    <row r="349">
      <c r="B349" s="87"/>
      <c r="C349" s="88"/>
      <c r="D349" s="88"/>
      <c r="E349" s="88"/>
      <c r="F349" s="88"/>
      <c r="G349" s="114"/>
    </row>
    <row r="350">
      <c r="B350" s="87"/>
      <c r="C350" s="88"/>
      <c r="D350" s="88"/>
      <c r="E350" s="88"/>
      <c r="F350" s="88"/>
      <c r="G350" s="114"/>
    </row>
    <row r="351">
      <c r="B351" s="87"/>
      <c r="C351" s="88"/>
      <c r="D351" s="88"/>
      <c r="E351" s="88"/>
      <c r="F351" s="88"/>
      <c r="G351" s="114"/>
    </row>
    <row r="352">
      <c r="B352" s="87"/>
      <c r="C352" s="88"/>
      <c r="D352" s="88"/>
      <c r="E352" s="88"/>
      <c r="F352" s="88"/>
      <c r="G352" s="114"/>
    </row>
    <row r="353">
      <c r="B353" s="87"/>
      <c r="C353" s="88"/>
      <c r="D353" s="88"/>
      <c r="E353" s="88"/>
      <c r="F353" s="88"/>
      <c r="G353" s="114"/>
    </row>
    <row r="354">
      <c r="B354" s="87"/>
      <c r="C354" s="88"/>
      <c r="D354" s="88"/>
      <c r="E354" s="88"/>
      <c r="F354" s="88"/>
      <c r="G354" s="114"/>
    </row>
    <row r="355">
      <c r="B355" s="87"/>
      <c r="C355" s="88"/>
      <c r="D355" s="88"/>
      <c r="E355" s="88"/>
      <c r="F355" s="88"/>
      <c r="G355" s="114"/>
    </row>
    <row r="356">
      <c r="B356" s="87"/>
      <c r="C356" s="88"/>
      <c r="D356" s="88"/>
      <c r="E356" s="88"/>
      <c r="F356" s="88"/>
      <c r="G356" s="114"/>
    </row>
    <row r="357">
      <c r="B357" s="87"/>
      <c r="C357" s="88"/>
      <c r="D357" s="88"/>
      <c r="E357" s="88"/>
      <c r="F357" s="88"/>
      <c r="G357" s="114"/>
    </row>
    <row r="358">
      <c r="B358" s="87"/>
      <c r="C358" s="88"/>
      <c r="D358" s="88"/>
      <c r="E358" s="88"/>
      <c r="F358" s="88"/>
      <c r="G358" s="114"/>
    </row>
    <row r="359">
      <c r="B359" s="87"/>
      <c r="C359" s="88"/>
      <c r="D359" s="88"/>
      <c r="E359" s="88"/>
      <c r="F359" s="88"/>
      <c r="G359" s="114"/>
    </row>
    <row r="360">
      <c r="B360" s="87"/>
      <c r="C360" s="88"/>
      <c r="D360" s="88"/>
      <c r="E360" s="88"/>
      <c r="F360" s="88"/>
      <c r="G360" s="114"/>
    </row>
    <row r="361">
      <c r="B361" s="87"/>
      <c r="C361" s="88"/>
      <c r="D361" s="88"/>
      <c r="E361" s="88"/>
      <c r="F361" s="88"/>
      <c r="G361" s="114"/>
    </row>
    <row r="362">
      <c r="B362" s="87"/>
      <c r="C362" s="88"/>
      <c r="D362" s="88"/>
      <c r="E362" s="88"/>
      <c r="F362" s="88"/>
      <c r="G362" s="114"/>
    </row>
    <row r="363">
      <c r="B363" s="87"/>
      <c r="C363" s="88"/>
      <c r="D363" s="88"/>
      <c r="E363" s="88"/>
      <c r="F363" s="88"/>
      <c r="G363" s="114"/>
    </row>
    <row r="364">
      <c r="B364" s="87"/>
      <c r="C364" s="88"/>
      <c r="D364" s="88"/>
      <c r="E364" s="88"/>
      <c r="F364" s="88"/>
      <c r="G364" s="114"/>
    </row>
    <row r="365">
      <c r="B365" s="87"/>
      <c r="C365" s="88"/>
      <c r="D365" s="88"/>
      <c r="E365" s="88"/>
      <c r="F365" s="88"/>
      <c r="G365" s="114"/>
    </row>
    <row r="366">
      <c r="B366" s="87"/>
      <c r="C366" s="88"/>
      <c r="D366" s="88"/>
      <c r="E366" s="88"/>
      <c r="F366" s="88"/>
      <c r="G366" s="114"/>
    </row>
    <row r="367">
      <c r="B367" s="87"/>
      <c r="C367" s="88"/>
      <c r="D367" s="88"/>
      <c r="E367" s="88"/>
      <c r="F367" s="88"/>
      <c r="G367" s="114"/>
    </row>
    <row r="368">
      <c r="B368" s="87"/>
      <c r="C368" s="88"/>
      <c r="D368" s="88"/>
      <c r="E368" s="88"/>
      <c r="F368" s="88"/>
      <c r="G368" s="114"/>
    </row>
    <row r="369">
      <c r="B369" s="87"/>
      <c r="C369" s="88"/>
      <c r="D369" s="88"/>
      <c r="E369" s="88"/>
      <c r="F369" s="88"/>
      <c r="G369" s="114"/>
    </row>
    <row r="370">
      <c r="B370" s="87"/>
      <c r="C370" s="88"/>
      <c r="D370" s="88"/>
      <c r="E370" s="88"/>
      <c r="F370" s="88"/>
      <c r="G370" s="114"/>
    </row>
    <row r="371">
      <c r="B371" s="87"/>
      <c r="C371" s="88"/>
      <c r="D371" s="88"/>
      <c r="E371" s="88"/>
      <c r="F371" s="88"/>
      <c r="G371" s="114"/>
    </row>
    <row r="372">
      <c r="B372" s="87"/>
      <c r="C372" s="88"/>
      <c r="D372" s="88"/>
      <c r="E372" s="88"/>
      <c r="F372" s="88"/>
      <c r="G372" s="114"/>
    </row>
    <row r="373">
      <c r="B373" s="87"/>
      <c r="C373" s="88"/>
      <c r="D373" s="88"/>
      <c r="E373" s="88"/>
      <c r="F373" s="88"/>
      <c r="G373" s="114"/>
    </row>
    <row r="374">
      <c r="B374" s="87"/>
      <c r="C374" s="88"/>
      <c r="D374" s="88"/>
      <c r="E374" s="88"/>
      <c r="F374" s="88"/>
      <c r="G374" s="114"/>
    </row>
    <row r="375">
      <c r="B375" s="87"/>
      <c r="C375" s="88"/>
      <c r="D375" s="88"/>
      <c r="E375" s="88"/>
      <c r="F375" s="88"/>
      <c r="G375" s="114"/>
    </row>
    <row r="376">
      <c r="B376" s="87"/>
      <c r="C376" s="88"/>
      <c r="D376" s="88"/>
      <c r="E376" s="88"/>
      <c r="F376" s="88"/>
      <c r="G376" s="114"/>
    </row>
    <row r="377">
      <c r="B377" s="87"/>
      <c r="C377" s="88"/>
      <c r="D377" s="88"/>
      <c r="E377" s="88"/>
      <c r="F377" s="88"/>
      <c r="G377" s="114"/>
    </row>
    <row r="378">
      <c r="B378" s="87"/>
      <c r="C378" s="88"/>
      <c r="D378" s="88"/>
      <c r="E378" s="88"/>
      <c r="F378" s="88"/>
      <c r="G378" s="114"/>
    </row>
    <row r="379">
      <c r="B379" s="87"/>
      <c r="C379" s="88"/>
      <c r="D379" s="88"/>
      <c r="E379" s="88"/>
      <c r="F379" s="88"/>
      <c r="G379" s="114"/>
    </row>
    <row r="380">
      <c r="B380" s="87"/>
      <c r="C380" s="88"/>
      <c r="D380" s="88"/>
      <c r="E380" s="88"/>
      <c r="F380" s="88"/>
      <c r="G380" s="114"/>
    </row>
    <row r="381">
      <c r="B381" s="87"/>
      <c r="C381" s="88"/>
      <c r="D381" s="88"/>
      <c r="E381" s="88"/>
      <c r="F381" s="88"/>
      <c r="G381" s="114"/>
    </row>
    <row r="382">
      <c r="B382" s="87"/>
      <c r="C382" s="88"/>
      <c r="D382" s="88"/>
      <c r="E382" s="88"/>
      <c r="F382" s="88"/>
      <c r="G382" s="114"/>
    </row>
    <row r="383">
      <c r="B383" s="87"/>
      <c r="C383" s="88"/>
      <c r="D383" s="88"/>
      <c r="E383" s="88"/>
      <c r="F383" s="88"/>
      <c r="G383" s="114"/>
    </row>
    <row r="384">
      <c r="B384" s="87"/>
      <c r="C384" s="88"/>
      <c r="D384" s="88"/>
      <c r="E384" s="88"/>
      <c r="F384" s="88"/>
      <c r="G384" s="114"/>
    </row>
    <row r="385">
      <c r="B385" s="87"/>
      <c r="C385" s="88"/>
      <c r="D385" s="88"/>
      <c r="E385" s="88"/>
      <c r="F385" s="88"/>
      <c r="G385" s="114"/>
    </row>
    <row r="386">
      <c r="B386" s="87"/>
      <c r="C386" s="88"/>
      <c r="D386" s="88"/>
      <c r="E386" s="88"/>
      <c r="F386" s="88"/>
      <c r="G386" s="114"/>
    </row>
    <row r="387">
      <c r="B387" s="87"/>
      <c r="C387" s="88"/>
      <c r="D387" s="88"/>
      <c r="E387" s="88"/>
      <c r="F387" s="88"/>
      <c r="G387" s="114"/>
    </row>
    <row r="388">
      <c r="B388" s="87"/>
      <c r="C388" s="88"/>
      <c r="D388" s="88"/>
      <c r="E388" s="88"/>
      <c r="F388" s="88"/>
      <c r="G388" s="114"/>
    </row>
    <row r="389">
      <c r="B389" s="87"/>
      <c r="C389" s="88"/>
      <c r="D389" s="88"/>
      <c r="E389" s="88"/>
      <c r="F389" s="88"/>
      <c r="G389" s="114"/>
    </row>
    <row r="390">
      <c r="B390" s="87"/>
      <c r="C390" s="88"/>
      <c r="D390" s="88"/>
      <c r="E390" s="88"/>
      <c r="F390" s="88"/>
      <c r="G390" s="114"/>
    </row>
    <row r="391">
      <c r="B391" s="87"/>
      <c r="C391" s="88"/>
      <c r="D391" s="88"/>
      <c r="E391" s="88"/>
      <c r="F391" s="88"/>
      <c r="G391" s="114"/>
    </row>
    <row r="392">
      <c r="B392" s="87"/>
      <c r="C392" s="88"/>
      <c r="D392" s="88"/>
      <c r="E392" s="88"/>
      <c r="F392" s="88"/>
      <c r="G392" s="114"/>
    </row>
    <row r="393">
      <c r="B393" s="87"/>
      <c r="C393" s="88"/>
      <c r="D393" s="88"/>
      <c r="E393" s="88"/>
      <c r="F393" s="88"/>
      <c r="G393" s="114"/>
    </row>
    <row r="394">
      <c r="B394" s="87"/>
      <c r="C394" s="88"/>
      <c r="D394" s="88"/>
      <c r="E394" s="88"/>
      <c r="F394" s="88"/>
      <c r="G394" s="114"/>
    </row>
    <row r="395">
      <c r="B395" s="87"/>
      <c r="C395" s="88"/>
      <c r="D395" s="88"/>
      <c r="E395" s="88"/>
      <c r="F395" s="88"/>
      <c r="G395" s="114"/>
    </row>
    <row r="396">
      <c r="B396" s="87"/>
      <c r="C396" s="88"/>
      <c r="D396" s="88"/>
      <c r="E396" s="88"/>
      <c r="F396" s="88"/>
      <c r="G396" s="114"/>
    </row>
    <row r="397">
      <c r="B397" s="87"/>
      <c r="C397" s="88"/>
      <c r="D397" s="88"/>
      <c r="E397" s="88"/>
      <c r="F397" s="88"/>
      <c r="G397" s="114"/>
    </row>
    <row r="398">
      <c r="B398" s="87"/>
      <c r="C398" s="88"/>
      <c r="D398" s="88"/>
      <c r="E398" s="88"/>
      <c r="F398" s="88"/>
      <c r="G398" s="114"/>
    </row>
    <row r="399">
      <c r="B399" s="87"/>
      <c r="C399" s="88"/>
      <c r="D399" s="88"/>
      <c r="E399" s="88"/>
      <c r="F399" s="88"/>
      <c r="G399" s="114"/>
    </row>
    <row r="400">
      <c r="B400" s="87"/>
      <c r="C400" s="88"/>
      <c r="D400" s="88"/>
      <c r="E400" s="88"/>
      <c r="F400" s="88"/>
      <c r="G400" s="114"/>
    </row>
    <row r="401">
      <c r="B401" s="87"/>
      <c r="C401" s="88"/>
      <c r="D401" s="88"/>
      <c r="E401" s="88"/>
      <c r="F401" s="88"/>
      <c r="G401" s="114"/>
    </row>
    <row r="402">
      <c r="B402" s="87"/>
      <c r="C402" s="88"/>
      <c r="D402" s="88"/>
      <c r="E402" s="88"/>
      <c r="F402" s="88"/>
      <c r="G402" s="114"/>
    </row>
    <row r="403">
      <c r="B403" s="87"/>
      <c r="C403" s="88"/>
      <c r="D403" s="88"/>
      <c r="E403" s="88"/>
      <c r="F403" s="88"/>
      <c r="G403" s="114"/>
    </row>
    <row r="404">
      <c r="B404" s="87"/>
      <c r="C404" s="88"/>
      <c r="D404" s="88"/>
      <c r="E404" s="88"/>
      <c r="F404" s="88"/>
      <c r="G404" s="114"/>
    </row>
    <row r="405">
      <c r="B405" s="87"/>
      <c r="C405" s="88"/>
      <c r="D405" s="88"/>
      <c r="E405" s="88"/>
      <c r="F405" s="88"/>
      <c r="G405" s="114"/>
    </row>
    <row r="406">
      <c r="B406" s="87"/>
      <c r="C406" s="88"/>
      <c r="D406" s="88"/>
      <c r="E406" s="88"/>
      <c r="F406" s="88"/>
      <c r="G406" s="114"/>
    </row>
    <row r="407">
      <c r="B407" s="87"/>
      <c r="C407" s="88"/>
      <c r="D407" s="88"/>
      <c r="E407" s="88"/>
      <c r="F407" s="88"/>
      <c r="G407" s="114"/>
    </row>
    <row r="408">
      <c r="B408" s="87"/>
      <c r="C408" s="88"/>
      <c r="D408" s="88"/>
      <c r="E408" s="88"/>
      <c r="F408" s="88"/>
      <c r="G408" s="114"/>
    </row>
    <row r="409">
      <c r="B409" s="87"/>
      <c r="C409" s="88"/>
      <c r="D409" s="88"/>
      <c r="E409" s="88"/>
      <c r="F409" s="88"/>
      <c r="G409" s="114"/>
    </row>
    <row r="410">
      <c r="B410" s="87"/>
      <c r="C410" s="88"/>
      <c r="D410" s="88"/>
      <c r="E410" s="88"/>
      <c r="F410" s="88"/>
      <c r="G410" s="114"/>
    </row>
    <row r="411">
      <c r="B411" s="87"/>
      <c r="C411" s="88"/>
      <c r="D411" s="88"/>
      <c r="E411" s="88"/>
      <c r="F411" s="88"/>
      <c r="G411" s="114"/>
    </row>
    <row r="412">
      <c r="B412" s="87"/>
      <c r="C412" s="88"/>
      <c r="D412" s="88"/>
      <c r="E412" s="88"/>
      <c r="F412" s="88"/>
      <c r="G412" s="114"/>
    </row>
    <row r="413">
      <c r="B413" s="87"/>
      <c r="C413" s="88"/>
      <c r="D413" s="88"/>
      <c r="E413" s="88"/>
      <c r="F413" s="88"/>
      <c r="G413" s="114"/>
    </row>
    <row r="414">
      <c r="B414" s="87"/>
      <c r="C414" s="88"/>
      <c r="D414" s="88"/>
      <c r="E414" s="88"/>
      <c r="F414" s="88"/>
      <c r="G414" s="114"/>
    </row>
    <row r="415">
      <c r="B415" s="87"/>
      <c r="C415" s="88"/>
      <c r="D415" s="88"/>
      <c r="E415" s="88"/>
      <c r="F415" s="88"/>
      <c r="G415" s="114"/>
    </row>
    <row r="416">
      <c r="B416" s="87"/>
      <c r="C416" s="88"/>
      <c r="D416" s="88"/>
      <c r="E416" s="88"/>
      <c r="F416" s="88"/>
      <c r="G416" s="114"/>
    </row>
    <row r="417">
      <c r="B417" s="87"/>
      <c r="C417" s="88"/>
      <c r="D417" s="88"/>
      <c r="E417" s="88"/>
      <c r="F417" s="88"/>
      <c r="G417" s="114"/>
    </row>
    <row r="418">
      <c r="B418" s="87"/>
      <c r="C418" s="88"/>
      <c r="D418" s="88"/>
      <c r="E418" s="88"/>
      <c r="F418" s="88"/>
      <c r="G418" s="114"/>
    </row>
    <row r="419">
      <c r="B419" s="87"/>
      <c r="C419" s="88"/>
      <c r="D419" s="88"/>
      <c r="E419" s="88"/>
      <c r="F419" s="88"/>
      <c r="G419" s="114"/>
    </row>
    <row r="420">
      <c r="B420" s="87"/>
      <c r="C420" s="88"/>
      <c r="D420" s="88"/>
      <c r="E420" s="88"/>
      <c r="F420" s="88"/>
      <c r="G420" s="114"/>
    </row>
    <row r="421">
      <c r="B421" s="87"/>
      <c r="C421" s="88"/>
      <c r="D421" s="88"/>
      <c r="E421" s="88"/>
      <c r="F421" s="88"/>
      <c r="G421" s="114"/>
    </row>
    <row r="422">
      <c r="B422" s="87"/>
      <c r="C422" s="88"/>
      <c r="D422" s="88"/>
      <c r="E422" s="88"/>
      <c r="F422" s="88"/>
      <c r="G422" s="114"/>
    </row>
    <row r="423">
      <c r="B423" s="87"/>
      <c r="C423" s="88"/>
      <c r="D423" s="88"/>
      <c r="E423" s="88"/>
      <c r="F423" s="88"/>
      <c r="G423" s="114"/>
    </row>
    <row r="424">
      <c r="B424" s="87"/>
      <c r="C424" s="88"/>
      <c r="D424" s="88"/>
      <c r="E424" s="88"/>
      <c r="F424" s="88"/>
      <c r="G424" s="114"/>
    </row>
    <row r="425">
      <c r="B425" s="87"/>
      <c r="C425" s="88"/>
      <c r="D425" s="88"/>
      <c r="E425" s="88"/>
      <c r="F425" s="88"/>
      <c r="G425" s="114"/>
    </row>
    <row r="426">
      <c r="B426" s="87"/>
      <c r="C426" s="88"/>
      <c r="D426" s="88"/>
      <c r="E426" s="88"/>
      <c r="F426" s="88"/>
      <c r="G426" s="114"/>
    </row>
    <row r="427">
      <c r="B427" s="87"/>
      <c r="C427" s="88"/>
      <c r="D427" s="88"/>
      <c r="E427" s="88"/>
      <c r="F427" s="88"/>
      <c r="G427" s="114"/>
    </row>
    <row r="428">
      <c r="B428" s="87"/>
      <c r="C428" s="88"/>
      <c r="D428" s="88"/>
      <c r="E428" s="88"/>
      <c r="F428" s="88"/>
      <c r="G428" s="114"/>
    </row>
    <row r="429">
      <c r="B429" s="87"/>
      <c r="C429" s="88"/>
      <c r="D429" s="88"/>
      <c r="E429" s="88"/>
      <c r="F429" s="88"/>
      <c r="G429" s="114"/>
    </row>
    <row r="430">
      <c r="B430" s="87"/>
      <c r="C430" s="88"/>
      <c r="D430" s="88"/>
      <c r="E430" s="88"/>
      <c r="F430" s="88"/>
      <c r="G430" s="114"/>
    </row>
    <row r="431">
      <c r="B431" s="87"/>
      <c r="C431" s="88"/>
      <c r="D431" s="88"/>
      <c r="E431" s="88"/>
      <c r="F431" s="88"/>
      <c r="G431" s="114"/>
    </row>
    <row r="432">
      <c r="B432" s="87"/>
      <c r="C432" s="88"/>
      <c r="D432" s="88"/>
      <c r="E432" s="88"/>
      <c r="F432" s="88"/>
      <c r="G432" s="114"/>
    </row>
    <row r="433">
      <c r="B433" s="87"/>
      <c r="C433" s="88"/>
      <c r="D433" s="88"/>
      <c r="E433" s="88"/>
      <c r="F433" s="88"/>
      <c r="G433" s="114"/>
    </row>
    <row r="434">
      <c r="B434" s="87"/>
      <c r="C434" s="88"/>
      <c r="D434" s="88"/>
      <c r="E434" s="88"/>
      <c r="F434" s="88"/>
      <c r="G434" s="114"/>
    </row>
    <row r="435">
      <c r="B435" s="87"/>
      <c r="C435" s="88"/>
      <c r="D435" s="88"/>
      <c r="E435" s="88"/>
      <c r="F435" s="88"/>
      <c r="G435" s="114"/>
    </row>
    <row r="436">
      <c r="B436" s="87"/>
      <c r="C436" s="88"/>
      <c r="D436" s="88"/>
      <c r="E436" s="88"/>
      <c r="F436" s="88"/>
      <c r="G436" s="114"/>
    </row>
    <row r="437">
      <c r="B437" s="87"/>
      <c r="C437" s="88"/>
      <c r="D437" s="88"/>
      <c r="E437" s="88"/>
      <c r="F437" s="88"/>
      <c r="G437" s="114"/>
    </row>
    <row r="438">
      <c r="B438" s="87"/>
      <c r="C438" s="88"/>
      <c r="D438" s="88"/>
      <c r="E438" s="88"/>
      <c r="F438" s="88"/>
      <c r="G438" s="114"/>
    </row>
    <row r="439">
      <c r="B439" s="87"/>
      <c r="C439" s="88"/>
      <c r="D439" s="88"/>
      <c r="E439" s="88"/>
      <c r="F439" s="88"/>
      <c r="G439" s="114"/>
    </row>
    <row r="440">
      <c r="B440" s="87"/>
      <c r="C440" s="88"/>
      <c r="D440" s="88"/>
      <c r="E440" s="88"/>
      <c r="F440" s="88"/>
      <c r="G440" s="114"/>
    </row>
    <row r="441">
      <c r="B441" s="87"/>
      <c r="C441" s="88"/>
      <c r="D441" s="88"/>
      <c r="E441" s="88"/>
      <c r="F441" s="88"/>
      <c r="G441" s="114"/>
    </row>
    <row r="442">
      <c r="B442" s="87"/>
      <c r="C442" s="88"/>
      <c r="D442" s="88"/>
      <c r="E442" s="88"/>
      <c r="F442" s="88"/>
      <c r="G442" s="114"/>
    </row>
    <row r="443">
      <c r="B443" s="87"/>
      <c r="C443" s="88"/>
      <c r="D443" s="88"/>
      <c r="E443" s="88"/>
      <c r="F443" s="88"/>
      <c r="G443" s="114"/>
    </row>
    <row r="444">
      <c r="B444" s="87"/>
      <c r="C444" s="88"/>
      <c r="D444" s="88"/>
      <c r="E444" s="88"/>
      <c r="F444" s="88"/>
      <c r="G444" s="114"/>
    </row>
    <row r="445">
      <c r="B445" s="87"/>
      <c r="C445" s="88"/>
      <c r="D445" s="88"/>
      <c r="E445" s="88"/>
      <c r="F445" s="88"/>
      <c r="G445" s="114"/>
    </row>
    <row r="446">
      <c r="B446" s="87"/>
      <c r="C446" s="88"/>
      <c r="D446" s="88"/>
      <c r="E446" s="88"/>
      <c r="F446" s="88"/>
      <c r="G446" s="114"/>
    </row>
    <row r="447">
      <c r="B447" s="87"/>
      <c r="C447" s="88"/>
      <c r="D447" s="88"/>
      <c r="E447" s="88"/>
      <c r="F447" s="88"/>
      <c r="G447" s="114"/>
    </row>
    <row r="448">
      <c r="B448" s="87"/>
      <c r="C448" s="88"/>
      <c r="D448" s="88"/>
      <c r="E448" s="88"/>
      <c r="F448" s="88"/>
      <c r="G448" s="114"/>
    </row>
    <row r="449">
      <c r="B449" s="87"/>
      <c r="C449" s="88"/>
      <c r="D449" s="88"/>
      <c r="E449" s="88"/>
      <c r="F449" s="88"/>
      <c r="G449" s="114"/>
    </row>
    <row r="450">
      <c r="B450" s="87"/>
      <c r="C450" s="88"/>
      <c r="D450" s="88"/>
      <c r="E450" s="88"/>
      <c r="F450" s="88"/>
      <c r="G450" s="114"/>
    </row>
    <row r="451">
      <c r="B451" s="87"/>
      <c r="C451" s="88"/>
      <c r="D451" s="88"/>
      <c r="E451" s="88"/>
      <c r="F451" s="88"/>
      <c r="G451" s="114"/>
    </row>
    <row r="452">
      <c r="B452" s="87"/>
      <c r="C452" s="88"/>
      <c r="D452" s="88"/>
      <c r="E452" s="88"/>
      <c r="F452" s="88"/>
      <c r="G452" s="114"/>
    </row>
    <row r="453">
      <c r="B453" s="87"/>
      <c r="C453" s="88"/>
      <c r="D453" s="88"/>
      <c r="E453" s="88"/>
      <c r="F453" s="88"/>
      <c r="G453" s="114"/>
    </row>
    <row r="454">
      <c r="B454" s="87"/>
      <c r="C454" s="88"/>
      <c r="D454" s="88"/>
      <c r="E454" s="88"/>
      <c r="F454" s="88"/>
      <c r="G454" s="114"/>
    </row>
    <row r="455">
      <c r="B455" s="87"/>
      <c r="C455" s="88"/>
      <c r="D455" s="88"/>
      <c r="E455" s="88"/>
      <c r="F455" s="88"/>
      <c r="G455" s="114"/>
    </row>
    <row r="456">
      <c r="B456" s="87"/>
      <c r="C456" s="88"/>
      <c r="D456" s="88"/>
      <c r="E456" s="88"/>
      <c r="F456" s="88"/>
      <c r="G456" s="114"/>
    </row>
    <row r="457">
      <c r="B457" s="87"/>
      <c r="C457" s="88"/>
      <c r="D457" s="88"/>
      <c r="E457" s="88"/>
      <c r="F457" s="88"/>
      <c r="G457" s="114"/>
    </row>
    <row r="458">
      <c r="B458" s="87"/>
      <c r="C458" s="88"/>
      <c r="D458" s="88"/>
      <c r="E458" s="88"/>
      <c r="F458" s="88"/>
      <c r="G458" s="114"/>
    </row>
    <row r="459">
      <c r="B459" s="87"/>
      <c r="C459" s="88"/>
      <c r="D459" s="88"/>
      <c r="E459" s="88"/>
      <c r="F459" s="88"/>
      <c r="G459" s="114"/>
    </row>
    <row r="460">
      <c r="B460" s="87"/>
      <c r="C460" s="88"/>
      <c r="D460" s="88"/>
      <c r="E460" s="88"/>
      <c r="F460" s="88"/>
      <c r="G460" s="114"/>
    </row>
    <row r="461">
      <c r="B461" s="87"/>
      <c r="C461" s="88"/>
      <c r="D461" s="88"/>
      <c r="E461" s="88"/>
      <c r="F461" s="88"/>
      <c r="G461" s="114"/>
    </row>
    <row r="462">
      <c r="B462" s="87"/>
      <c r="C462" s="88"/>
      <c r="D462" s="88"/>
      <c r="E462" s="88"/>
      <c r="F462" s="88"/>
      <c r="G462" s="114"/>
    </row>
    <row r="463">
      <c r="B463" s="87"/>
      <c r="C463" s="88"/>
      <c r="D463" s="88"/>
      <c r="E463" s="88"/>
      <c r="F463" s="88"/>
      <c r="G463" s="114"/>
    </row>
    <row r="464">
      <c r="B464" s="87"/>
      <c r="C464" s="88"/>
      <c r="D464" s="88"/>
      <c r="E464" s="88"/>
      <c r="F464" s="88"/>
      <c r="G464" s="114"/>
    </row>
    <row r="465">
      <c r="B465" s="87"/>
      <c r="C465" s="88"/>
      <c r="D465" s="88"/>
      <c r="E465" s="88"/>
      <c r="F465" s="88"/>
      <c r="G465" s="114"/>
    </row>
    <row r="466">
      <c r="B466" s="87"/>
      <c r="C466" s="88"/>
      <c r="D466" s="88"/>
      <c r="E466" s="88"/>
      <c r="F466" s="88"/>
      <c r="G466" s="114"/>
    </row>
    <row r="467">
      <c r="B467" s="87"/>
      <c r="C467" s="88"/>
      <c r="D467" s="88"/>
      <c r="E467" s="88"/>
      <c r="F467" s="88"/>
      <c r="G467" s="114"/>
    </row>
    <row r="468">
      <c r="B468" s="87"/>
      <c r="C468" s="88"/>
      <c r="D468" s="88"/>
      <c r="E468" s="88"/>
      <c r="F468" s="88"/>
      <c r="G468" s="114"/>
    </row>
    <row r="469">
      <c r="B469" s="87"/>
      <c r="C469" s="88"/>
      <c r="D469" s="88"/>
      <c r="E469" s="88"/>
      <c r="F469" s="88"/>
      <c r="G469" s="114"/>
    </row>
    <row r="470">
      <c r="B470" s="87"/>
      <c r="C470" s="88"/>
      <c r="D470" s="88"/>
      <c r="E470" s="88"/>
      <c r="F470" s="88"/>
      <c r="G470" s="114"/>
    </row>
    <row r="471">
      <c r="B471" s="87"/>
      <c r="C471" s="88"/>
      <c r="D471" s="88"/>
      <c r="E471" s="88"/>
      <c r="F471" s="88"/>
      <c r="G471" s="114"/>
    </row>
    <row r="472">
      <c r="B472" s="87"/>
      <c r="C472" s="88"/>
      <c r="D472" s="88"/>
      <c r="E472" s="88"/>
      <c r="F472" s="88"/>
      <c r="G472" s="114"/>
    </row>
    <row r="473">
      <c r="B473" s="87"/>
      <c r="C473" s="88"/>
      <c r="D473" s="88"/>
      <c r="E473" s="88"/>
      <c r="F473" s="88"/>
      <c r="G473" s="114"/>
    </row>
    <row r="474">
      <c r="B474" s="87"/>
      <c r="C474" s="88"/>
      <c r="D474" s="88"/>
      <c r="E474" s="88"/>
      <c r="F474" s="88"/>
      <c r="G474" s="114"/>
    </row>
    <row r="475">
      <c r="B475" s="87"/>
      <c r="C475" s="88"/>
      <c r="D475" s="88"/>
      <c r="E475" s="88"/>
      <c r="F475" s="88"/>
      <c r="G475" s="114"/>
    </row>
    <row r="476">
      <c r="B476" s="87"/>
      <c r="C476" s="88"/>
      <c r="D476" s="88"/>
      <c r="E476" s="88"/>
      <c r="F476" s="88"/>
      <c r="G476" s="114"/>
    </row>
    <row r="477">
      <c r="B477" s="87"/>
      <c r="C477" s="88"/>
      <c r="D477" s="88"/>
      <c r="E477" s="88"/>
      <c r="F477" s="88"/>
      <c r="G477" s="114"/>
    </row>
    <row r="478">
      <c r="B478" s="87"/>
      <c r="C478" s="88"/>
      <c r="D478" s="88"/>
      <c r="E478" s="88"/>
      <c r="F478" s="88"/>
      <c r="G478" s="114"/>
    </row>
    <row r="479">
      <c r="B479" s="87"/>
      <c r="C479" s="88"/>
      <c r="D479" s="88"/>
      <c r="E479" s="88"/>
      <c r="F479" s="88"/>
      <c r="G479" s="114"/>
    </row>
    <row r="480">
      <c r="B480" s="87"/>
      <c r="C480" s="88"/>
      <c r="D480" s="88"/>
      <c r="E480" s="88"/>
      <c r="F480" s="88"/>
      <c r="G480" s="114"/>
    </row>
    <row r="481">
      <c r="B481" s="87"/>
      <c r="C481" s="88"/>
      <c r="D481" s="88"/>
      <c r="E481" s="88"/>
      <c r="F481" s="88"/>
      <c r="G481" s="114"/>
    </row>
    <row r="482">
      <c r="B482" s="87"/>
      <c r="C482" s="88"/>
      <c r="D482" s="88"/>
      <c r="E482" s="88"/>
      <c r="F482" s="88"/>
      <c r="G482" s="114"/>
    </row>
    <row r="483">
      <c r="B483" s="87"/>
      <c r="C483" s="88"/>
      <c r="D483" s="88"/>
      <c r="E483" s="88"/>
      <c r="F483" s="88"/>
      <c r="G483" s="114"/>
    </row>
    <row r="484">
      <c r="B484" s="87"/>
      <c r="C484" s="88"/>
      <c r="D484" s="88"/>
      <c r="E484" s="88"/>
      <c r="F484" s="88"/>
      <c r="G484" s="114"/>
    </row>
    <row r="485">
      <c r="B485" s="87"/>
      <c r="C485" s="88"/>
      <c r="D485" s="88"/>
      <c r="E485" s="88"/>
      <c r="F485" s="88"/>
      <c r="G485" s="114"/>
    </row>
    <row r="486">
      <c r="B486" s="87"/>
      <c r="C486" s="88"/>
      <c r="D486" s="88"/>
      <c r="E486" s="88"/>
      <c r="F486" s="88"/>
      <c r="G486" s="114"/>
    </row>
    <row r="487">
      <c r="B487" s="87"/>
      <c r="C487" s="88"/>
      <c r="D487" s="88"/>
      <c r="E487" s="88"/>
      <c r="F487" s="88"/>
      <c r="G487" s="114"/>
    </row>
    <row r="488">
      <c r="B488" s="87"/>
      <c r="C488" s="88"/>
      <c r="D488" s="88"/>
      <c r="E488" s="88"/>
      <c r="F488" s="88"/>
      <c r="G488" s="114"/>
    </row>
    <row r="489">
      <c r="B489" s="87"/>
      <c r="C489" s="88"/>
      <c r="D489" s="88"/>
      <c r="E489" s="88"/>
      <c r="F489" s="88"/>
      <c r="G489" s="114"/>
    </row>
    <row r="490">
      <c r="B490" s="87"/>
      <c r="C490" s="88"/>
      <c r="D490" s="88"/>
      <c r="E490" s="88"/>
      <c r="F490" s="88"/>
      <c r="G490" s="114"/>
    </row>
    <row r="491">
      <c r="B491" s="87"/>
      <c r="C491" s="88"/>
      <c r="D491" s="88"/>
      <c r="E491" s="88"/>
      <c r="F491" s="88"/>
      <c r="G491" s="114"/>
    </row>
    <row r="492">
      <c r="B492" s="87"/>
      <c r="C492" s="88"/>
      <c r="D492" s="88"/>
      <c r="E492" s="88"/>
      <c r="F492" s="88"/>
      <c r="G492" s="114"/>
    </row>
    <row r="493">
      <c r="B493" s="87"/>
      <c r="C493" s="88"/>
      <c r="D493" s="88"/>
      <c r="E493" s="88"/>
      <c r="F493" s="88"/>
      <c r="G493" s="114"/>
    </row>
    <row r="494">
      <c r="B494" s="87"/>
      <c r="C494" s="88"/>
      <c r="D494" s="88"/>
      <c r="E494" s="88"/>
      <c r="F494" s="88"/>
      <c r="G494" s="114"/>
    </row>
    <row r="495">
      <c r="B495" s="87"/>
      <c r="C495" s="88"/>
      <c r="D495" s="88"/>
      <c r="E495" s="88"/>
      <c r="F495" s="88"/>
      <c r="G495" s="114"/>
    </row>
    <row r="496">
      <c r="B496" s="87"/>
      <c r="C496" s="88"/>
      <c r="D496" s="88"/>
      <c r="E496" s="88"/>
      <c r="F496" s="88"/>
      <c r="G496" s="114"/>
    </row>
    <row r="497">
      <c r="B497" s="87"/>
      <c r="C497" s="88"/>
      <c r="D497" s="88"/>
      <c r="E497" s="88"/>
      <c r="F497" s="88"/>
      <c r="G497" s="114"/>
    </row>
    <row r="498">
      <c r="B498" s="87"/>
      <c r="C498" s="88"/>
      <c r="D498" s="88"/>
      <c r="E498" s="88"/>
      <c r="F498" s="88"/>
      <c r="G498" s="114"/>
    </row>
    <row r="499">
      <c r="B499" s="87"/>
      <c r="C499" s="88"/>
      <c r="D499" s="88"/>
      <c r="E499" s="88"/>
      <c r="F499" s="88"/>
      <c r="G499" s="114"/>
    </row>
    <row r="500">
      <c r="B500" s="87"/>
      <c r="C500" s="88"/>
      <c r="D500" s="88"/>
      <c r="E500" s="88"/>
      <c r="F500" s="88"/>
      <c r="G500" s="114"/>
    </row>
    <row r="501">
      <c r="B501" s="87"/>
      <c r="C501" s="88"/>
      <c r="D501" s="88"/>
      <c r="E501" s="88"/>
      <c r="F501" s="88"/>
      <c r="G501" s="114"/>
    </row>
    <row r="502">
      <c r="B502" s="87"/>
      <c r="C502" s="88"/>
      <c r="D502" s="88"/>
      <c r="E502" s="88"/>
      <c r="F502" s="88"/>
      <c r="G502" s="114"/>
    </row>
    <row r="503">
      <c r="B503" s="87"/>
      <c r="C503" s="88"/>
      <c r="D503" s="88"/>
      <c r="E503" s="88"/>
      <c r="F503" s="88"/>
      <c r="G503" s="114"/>
    </row>
    <row r="504">
      <c r="B504" s="87"/>
      <c r="C504" s="88"/>
      <c r="D504" s="88"/>
      <c r="E504" s="88"/>
      <c r="F504" s="88"/>
      <c r="G504" s="114"/>
    </row>
    <row r="505">
      <c r="B505" s="87"/>
      <c r="C505" s="88"/>
      <c r="D505" s="88"/>
      <c r="E505" s="88"/>
      <c r="F505" s="88"/>
      <c r="G505" s="114"/>
    </row>
    <row r="506">
      <c r="B506" s="87"/>
      <c r="C506" s="88"/>
      <c r="D506" s="88"/>
      <c r="E506" s="88"/>
      <c r="F506" s="88"/>
      <c r="G506" s="114"/>
    </row>
    <row r="507">
      <c r="B507" s="87"/>
      <c r="C507" s="88"/>
      <c r="D507" s="88"/>
      <c r="E507" s="88"/>
      <c r="F507" s="88"/>
      <c r="G507" s="114"/>
    </row>
    <row r="508">
      <c r="B508" s="87"/>
      <c r="C508" s="88"/>
      <c r="D508" s="88"/>
      <c r="E508" s="88"/>
      <c r="F508" s="88"/>
      <c r="G508" s="114"/>
    </row>
    <row r="509">
      <c r="B509" s="87"/>
      <c r="C509" s="88"/>
      <c r="D509" s="88"/>
      <c r="E509" s="88"/>
      <c r="F509" s="88"/>
      <c r="G509" s="114"/>
    </row>
    <row r="510">
      <c r="B510" s="87"/>
      <c r="C510" s="88"/>
      <c r="D510" s="88"/>
      <c r="E510" s="88"/>
      <c r="F510" s="88"/>
      <c r="G510" s="114"/>
    </row>
    <row r="511">
      <c r="B511" s="87"/>
      <c r="C511" s="88"/>
      <c r="D511" s="88"/>
      <c r="E511" s="88"/>
      <c r="F511" s="88"/>
      <c r="G511" s="114"/>
    </row>
    <row r="512">
      <c r="B512" s="87"/>
      <c r="C512" s="88"/>
      <c r="D512" s="88"/>
      <c r="E512" s="88"/>
      <c r="F512" s="88"/>
      <c r="G512" s="114"/>
    </row>
    <row r="513">
      <c r="B513" s="87"/>
      <c r="C513" s="88"/>
      <c r="D513" s="88"/>
      <c r="E513" s="88"/>
      <c r="F513" s="88"/>
      <c r="G513" s="114"/>
    </row>
    <row r="514">
      <c r="B514" s="87"/>
      <c r="C514" s="88"/>
      <c r="D514" s="88"/>
      <c r="E514" s="88"/>
      <c r="F514" s="88"/>
      <c r="G514" s="114"/>
    </row>
    <row r="515">
      <c r="B515" s="87"/>
      <c r="C515" s="88"/>
      <c r="D515" s="88"/>
      <c r="E515" s="88"/>
      <c r="F515" s="88"/>
      <c r="G515" s="114"/>
    </row>
    <row r="516">
      <c r="B516" s="87"/>
      <c r="C516" s="88"/>
      <c r="D516" s="88"/>
      <c r="E516" s="88"/>
      <c r="F516" s="88"/>
      <c r="G516" s="114"/>
    </row>
    <row r="517">
      <c r="B517" s="87"/>
      <c r="C517" s="88"/>
      <c r="D517" s="88"/>
      <c r="E517" s="88"/>
      <c r="F517" s="88"/>
      <c r="G517" s="114"/>
    </row>
    <row r="518">
      <c r="B518" s="87"/>
      <c r="C518" s="88"/>
      <c r="D518" s="88"/>
      <c r="E518" s="88"/>
      <c r="F518" s="88"/>
      <c r="G518" s="114"/>
    </row>
    <row r="519">
      <c r="B519" s="87"/>
      <c r="C519" s="88"/>
      <c r="D519" s="88"/>
      <c r="E519" s="88"/>
      <c r="F519" s="88"/>
      <c r="G519" s="114"/>
    </row>
    <row r="520">
      <c r="B520" s="87"/>
      <c r="C520" s="88"/>
      <c r="D520" s="88"/>
      <c r="E520" s="88"/>
      <c r="F520" s="88"/>
      <c r="G520" s="114"/>
    </row>
    <row r="521">
      <c r="B521" s="87"/>
      <c r="C521" s="88"/>
      <c r="D521" s="88"/>
      <c r="E521" s="88"/>
      <c r="F521" s="88"/>
      <c r="G521" s="114"/>
    </row>
    <row r="522">
      <c r="B522" s="87"/>
      <c r="C522" s="88"/>
      <c r="D522" s="88"/>
      <c r="E522" s="88"/>
      <c r="F522" s="88"/>
      <c r="G522" s="114"/>
    </row>
    <row r="523">
      <c r="B523" s="87"/>
      <c r="C523" s="88"/>
      <c r="D523" s="88"/>
      <c r="E523" s="88"/>
      <c r="F523" s="88"/>
      <c r="G523" s="114"/>
    </row>
    <row r="524">
      <c r="B524" s="87"/>
      <c r="C524" s="88"/>
      <c r="D524" s="88"/>
      <c r="E524" s="88"/>
      <c r="F524" s="88"/>
      <c r="G524" s="114"/>
    </row>
    <row r="525">
      <c r="B525" s="87"/>
      <c r="C525" s="88"/>
      <c r="D525" s="88"/>
      <c r="E525" s="88"/>
      <c r="F525" s="88"/>
      <c r="G525" s="114"/>
    </row>
    <row r="526">
      <c r="B526" s="87"/>
      <c r="C526" s="88"/>
      <c r="D526" s="88"/>
      <c r="E526" s="88"/>
      <c r="F526" s="88"/>
      <c r="G526" s="114"/>
    </row>
    <row r="527">
      <c r="B527" s="87"/>
      <c r="C527" s="88"/>
      <c r="D527" s="88"/>
      <c r="E527" s="88"/>
      <c r="F527" s="88"/>
      <c r="G527" s="114"/>
    </row>
    <row r="528">
      <c r="B528" s="87"/>
      <c r="C528" s="88"/>
      <c r="D528" s="88"/>
      <c r="E528" s="88"/>
      <c r="F528" s="88"/>
      <c r="G528" s="114"/>
    </row>
    <row r="529">
      <c r="B529" s="87"/>
      <c r="C529" s="88"/>
      <c r="D529" s="88"/>
      <c r="E529" s="88"/>
      <c r="F529" s="88"/>
      <c r="G529" s="114"/>
    </row>
    <row r="530">
      <c r="B530" s="87"/>
      <c r="C530" s="88"/>
      <c r="D530" s="88"/>
      <c r="E530" s="88"/>
      <c r="F530" s="88"/>
      <c r="G530" s="114"/>
    </row>
    <row r="531">
      <c r="B531" s="87"/>
      <c r="C531" s="88"/>
      <c r="D531" s="88"/>
      <c r="E531" s="88"/>
      <c r="F531" s="88"/>
      <c r="G531" s="114"/>
    </row>
    <row r="532">
      <c r="B532" s="87"/>
      <c r="C532" s="88"/>
      <c r="D532" s="88"/>
      <c r="E532" s="88"/>
      <c r="F532" s="88"/>
      <c r="G532" s="114"/>
    </row>
    <row r="533">
      <c r="B533" s="87"/>
      <c r="C533" s="88"/>
      <c r="D533" s="88"/>
      <c r="E533" s="88"/>
      <c r="F533" s="88"/>
      <c r="G533" s="114"/>
    </row>
    <row r="534">
      <c r="B534" s="87"/>
      <c r="C534" s="88"/>
      <c r="D534" s="88"/>
      <c r="E534" s="88"/>
      <c r="F534" s="88"/>
      <c r="G534" s="114"/>
    </row>
    <row r="535">
      <c r="B535" s="87"/>
      <c r="C535" s="88"/>
      <c r="D535" s="88"/>
      <c r="E535" s="88"/>
      <c r="F535" s="88"/>
      <c r="G535" s="114"/>
    </row>
    <row r="536">
      <c r="B536" s="87"/>
      <c r="C536" s="88"/>
      <c r="D536" s="88"/>
      <c r="E536" s="88"/>
      <c r="F536" s="88"/>
      <c r="G536" s="114"/>
    </row>
    <row r="537">
      <c r="B537" s="87"/>
      <c r="C537" s="88"/>
      <c r="D537" s="88"/>
      <c r="E537" s="88"/>
      <c r="F537" s="88"/>
      <c r="G537" s="114"/>
    </row>
    <row r="538">
      <c r="B538" s="87"/>
      <c r="C538" s="88"/>
      <c r="D538" s="88"/>
      <c r="E538" s="88"/>
      <c r="F538" s="88"/>
      <c r="G538" s="114"/>
    </row>
    <row r="539">
      <c r="B539" s="87"/>
      <c r="C539" s="88"/>
      <c r="D539" s="88"/>
      <c r="E539" s="88"/>
      <c r="F539" s="88"/>
      <c r="G539" s="114"/>
    </row>
    <row r="540">
      <c r="B540" s="87"/>
      <c r="C540" s="88"/>
      <c r="D540" s="88"/>
      <c r="E540" s="88"/>
      <c r="F540" s="88"/>
      <c r="G540" s="114"/>
    </row>
    <row r="541">
      <c r="B541" s="87"/>
      <c r="C541" s="88"/>
      <c r="D541" s="88"/>
      <c r="E541" s="88"/>
      <c r="F541" s="88"/>
      <c r="G541" s="114"/>
    </row>
    <row r="542">
      <c r="B542" s="87"/>
      <c r="C542" s="88"/>
      <c r="D542" s="88"/>
      <c r="E542" s="88"/>
      <c r="F542" s="88"/>
      <c r="G542" s="114"/>
    </row>
    <row r="543">
      <c r="B543" s="87"/>
      <c r="C543" s="88"/>
      <c r="D543" s="88"/>
      <c r="E543" s="88"/>
      <c r="F543" s="88"/>
      <c r="G543" s="114"/>
    </row>
    <row r="544">
      <c r="B544" s="87"/>
      <c r="C544" s="88"/>
      <c r="D544" s="88"/>
      <c r="E544" s="88"/>
      <c r="F544" s="88"/>
      <c r="G544" s="114"/>
    </row>
    <row r="545">
      <c r="B545" s="87"/>
      <c r="C545" s="88"/>
      <c r="D545" s="88"/>
      <c r="E545" s="88"/>
      <c r="F545" s="88"/>
      <c r="G545" s="114"/>
    </row>
    <row r="546">
      <c r="B546" s="87"/>
      <c r="C546" s="88"/>
      <c r="D546" s="88"/>
      <c r="E546" s="88"/>
      <c r="F546" s="88"/>
      <c r="G546" s="114"/>
    </row>
    <row r="547">
      <c r="B547" s="87"/>
      <c r="C547" s="88"/>
      <c r="D547" s="88"/>
      <c r="E547" s="88"/>
      <c r="F547" s="88"/>
      <c r="G547" s="114"/>
    </row>
    <row r="548">
      <c r="B548" s="87"/>
      <c r="C548" s="88"/>
      <c r="D548" s="88"/>
      <c r="E548" s="88"/>
      <c r="F548" s="88"/>
      <c r="G548" s="114"/>
    </row>
    <row r="549">
      <c r="B549" s="87"/>
      <c r="C549" s="88"/>
      <c r="D549" s="88"/>
      <c r="E549" s="88"/>
      <c r="F549" s="88"/>
      <c r="G549" s="114"/>
    </row>
    <row r="550">
      <c r="B550" s="87"/>
      <c r="C550" s="88"/>
      <c r="D550" s="88"/>
      <c r="E550" s="88"/>
      <c r="F550" s="88"/>
      <c r="G550" s="114"/>
    </row>
    <row r="551">
      <c r="B551" s="87"/>
      <c r="C551" s="88"/>
      <c r="D551" s="88"/>
      <c r="E551" s="88"/>
      <c r="F551" s="88"/>
      <c r="G551" s="114"/>
    </row>
    <row r="552">
      <c r="B552" s="87"/>
      <c r="C552" s="88"/>
      <c r="D552" s="88"/>
      <c r="E552" s="88"/>
      <c r="F552" s="88"/>
      <c r="G552" s="114"/>
    </row>
    <row r="553">
      <c r="B553" s="87"/>
      <c r="C553" s="88"/>
      <c r="D553" s="88"/>
      <c r="E553" s="88"/>
      <c r="F553" s="88"/>
      <c r="G553" s="114"/>
    </row>
    <row r="554">
      <c r="B554" s="87"/>
      <c r="C554" s="88"/>
      <c r="D554" s="88"/>
      <c r="E554" s="88"/>
      <c r="F554" s="88"/>
      <c r="G554" s="114"/>
    </row>
    <row r="555">
      <c r="B555" s="87"/>
      <c r="C555" s="88"/>
      <c r="D555" s="88"/>
      <c r="E555" s="88"/>
      <c r="F555" s="88"/>
      <c r="G555" s="114"/>
    </row>
    <row r="556">
      <c r="B556" s="87"/>
      <c r="C556" s="88"/>
      <c r="D556" s="88"/>
      <c r="E556" s="88"/>
      <c r="F556" s="88"/>
      <c r="G556" s="114"/>
    </row>
    <row r="557">
      <c r="B557" s="87"/>
      <c r="C557" s="88"/>
      <c r="D557" s="88"/>
      <c r="E557" s="88"/>
      <c r="F557" s="88"/>
      <c r="G557" s="114"/>
    </row>
    <row r="558">
      <c r="B558" s="87"/>
      <c r="C558" s="88"/>
      <c r="D558" s="88"/>
      <c r="E558" s="88"/>
      <c r="F558" s="88"/>
      <c r="G558" s="114"/>
    </row>
    <row r="559">
      <c r="B559" s="87"/>
      <c r="C559" s="88"/>
      <c r="D559" s="88"/>
      <c r="E559" s="88"/>
      <c r="F559" s="88"/>
      <c r="G559" s="114"/>
    </row>
    <row r="560">
      <c r="B560" s="87"/>
      <c r="C560" s="88"/>
      <c r="D560" s="88"/>
      <c r="E560" s="88"/>
      <c r="F560" s="88"/>
      <c r="G560" s="114"/>
    </row>
    <row r="561">
      <c r="B561" s="87"/>
      <c r="C561" s="88"/>
      <c r="D561" s="88"/>
      <c r="E561" s="88"/>
      <c r="F561" s="88"/>
      <c r="G561" s="114"/>
    </row>
    <row r="562">
      <c r="B562" s="87"/>
      <c r="C562" s="88"/>
      <c r="D562" s="88"/>
      <c r="E562" s="88"/>
      <c r="F562" s="88"/>
      <c r="G562" s="114"/>
    </row>
    <row r="563">
      <c r="B563" s="87"/>
      <c r="C563" s="88"/>
      <c r="D563" s="88"/>
      <c r="E563" s="88"/>
      <c r="F563" s="88"/>
      <c r="G563" s="114"/>
    </row>
    <row r="564">
      <c r="B564" s="87"/>
      <c r="C564" s="88"/>
      <c r="D564" s="88"/>
      <c r="E564" s="88"/>
      <c r="F564" s="88"/>
      <c r="G564" s="114"/>
    </row>
    <row r="565">
      <c r="B565" s="87"/>
      <c r="C565" s="88"/>
      <c r="D565" s="88"/>
      <c r="E565" s="88"/>
      <c r="F565" s="88"/>
      <c r="G565" s="114"/>
    </row>
    <row r="566">
      <c r="B566" s="87"/>
      <c r="C566" s="88"/>
      <c r="D566" s="88"/>
      <c r="E566" s="88"/>
      <c r="F566" s="88"/>
      <c r="G566" s="114"/>
    </row>
    <row r="567">
      <c r="B567" s="87"/>
      <c r="C567" s="88"/>
      <c r="D567" s="88"/>
      <c r="E567" s="88"/>
      <c r="F567" s="88"/>
      <c r="G567" s="114"/>
    </row>
    <row r="568">
      <c r="B568" s="87"/>
      <c r="C568" s="88"/>
      <c r="D568" s="88"/>
      <c r="E568" s="88"/>
      <c r="F568" s="88"/>
      <c r="G568" s="114"/>
    </row>
    <row r="569">
      <c r="B569" s="87"/>
      <c r="C569" s="88"/>
      <c r="D569" s="88"/>
      <c r="E569" s="88"/>
      <c r="F569" s="88"/>
      <c r="G569" s="114"/>
    </row>
    <row r="570">
      <c r="B570" s="87"/>
      <c r="C570" s="88"/>
      <c r="D570" s="88"/>
      <c r="E570" s="88"/>
      <c r="F570" s="88"/>
      <c r="G570" s="114"/>
    </row>
    <row r="571">
      <c r="B571" s="87"/>
      <c r="C571" s="88"/>
      <c r="D571" s="88"/>
      <c r="E571" s="88"/>
      <c r="F571" s="88"/>
      <c r="G571" s="114"/>
    </row>
    <row r="572">
      <c r="B572" s="87"/>
      <c r="C572" s="88"/>
      <c r="D572" s="88"/>
      <c r="E572" s="88"/>
      <c r="F572" s="88"/>
      <c r="G572" s="114"/>
    </row>
    <row r="573">
      <c r="B573" s="87"/>
      <c r="C573" s="88"/>
      <c r="D573" s="88"/>
      <c r="E573" s="88"/>
      <c r="F573" s="88"/>
      <c r="G573" s="114"/>
    </row>
    <row r="574">
      <c r="B574" s="87"/>
      <c r="C574" s="88"/>
      <c r="D574" s="88"/>
      <c r="E574" s="88"/>
      <c r="F574" s="88"/>
      <c r="G574" s="114"/>
    </row>
    <row r="575">
      <c r="B575" s="87"/>
      <c r="C575" s="88"/>
      <c r="D575" s="88"/>
      <c r="E575" s="88"/>
      <c r="F575" s="88"/>
      <c r="G575" s="114"/>
    </row>
    <row r="576">
      <c r="B576" s="87"/>
      <c r="C576" s="88"/>
      <c r="D576" s="88"/>
      <c r="E576" s="88"/>
      <c r="F576" s="88"/>
      <c r="G576" s="114"/>
    </row>
    <row r="577">
      <c r="B577" s="87"/>
      <c r="C577" s="88"/>
      <c r="D577" s="88"/>
      <c r="E577" s="88"/>
      <c r="F577" s="88"/>
      <c r="G577" s="114"/>
    </row>
    <row r="578">
      <c r="B578" s="87"/>
      <c r="C578" s="88"/>
      <c r="D578" s="88"/>
      <c r="E578" s="88"/>
      <c r="F578" s="88"/>
      <c r="G578" s="114"/>
    </row>
    <row r="579">
      <c r="B579" s="87"/>
      <c r="C579" s="88"/>
      <c r="D579" s="88"/>
      <c r="E579" s="88"/>
      <c r="F579" s="88"/>
      <c r="G579" s="114"/>
    </row>
    <row r="580">
      <c r="B580" s="87"/>
      <c r="C580" s="88"/>
      <c r="D580" s="88"/>
      <c r="E580" s="88"/>
      <c r="F580" s="88"/>
      <c r="G580" s="114"/>
    </row>
    <row r="581">
      <c r="B581" s="87"/>
      <c r="C581" s="88"/>
      <c r="D581" s="88"/>
      <c r="E581" s="88"/>
      <c r="F581" s="88"/>
      <c r="G581" s="114"/>
    </row>
    <row r="582">
      <c r="B582" s="87"/>
      <c r="C582" s="88"/>
      <c r="D582" s="88"/>
      <c r="E582" s="88"/>
      <c r="F582" s="88"/>
      <c r="G582" s="114"/>
    </row>
    <row r="583">
      <c r="B583" s="87"/>
      <c r="C583" s="88"/>
      <c r="D583" s="88"/>
      <c r="E583" s="88"/>
      <c r="F583" s="88"/>
      <c r="G583" s="114"/>
    </row>
    <row r="584">
      <c r="B584" s="87"/>
      <c r="C584" s="88"/>
      <c r="D584" s="88"/>
      <c r="E584" s="88"/>
      <c r="F584" s="88"/>
      <c r="G584" s="114"/>
    </row>
    <row r="585">
      <c r="B585" s="87"/>
      <c r="C585" s="88"/>
      <c r="D585" s="88"/>
      <c r="E585" s="88"/>
      <c r="F585" s="88"/>
      <c r="G585" s="114"/>
    </row>
    <row r="586">
      <c r="B586" s="87"/>
      <c r="C586" s="88"/>
      <c r="D586" s="88"/>
      <c r="E586" s="88"/>
      <c r="F586" s="88"/>
      <c r="G586" s="114"/>
    </row>
    <row r="587">
      <c r="B587" s="87"/>
      <c r="C587" s="88"/>
      <c r="D587" s="88"/>
      <c r="E587" s="88"/>
      <c r="F587" s="88"/>
      <c r="G587" s="114"/>
    </row>
    <row r="588">
      <c r="B588" s="87"/>
      <c r="C588" s="88"/>
      <c r="D588" s="88"/>
      <c r="E588" s="88"/>
      <c r="F588" s="88"/>
      <c r="G588" s="114"/>
    </row>
    <row r="589">
      <c r="B589" s="87"/>
      <c r="C589" s="88"/>
      <c r="D589" s="88"/>
      <c r="E589" s="88"/>
      <c r="F589" s="88"/>
      <c r="G589" s="114"/>
    </row>
    <row r="590">
      <c r="B590" s="87"/>
      <c r="C590" s="88"/>
      <c r="D590" s="88"/>
      <c r="E590" s="88"/>
      <c r="F590" s="88"/>
      <c r="G590" s="114"/>
    </row>
    <row r="591">
      <c r="B591" s="87"/>
      <c r="C591" s="88"/>
      <c r="D591" s="88"/>
      <c r="E591" s="88"/>
      <c r="F591" s="88"/>
      <c r="G591" s="114"/>
    </row>
    <row r="592">
      <c r="B592" s="87"/>
      <c r="C592" s="88"/>
      <c r="D592" s="88"/>
      <c r="E592" s="88"/>
      <c r="F592" s="88"/>
      <c r="G592" s="114"/>
    </row>
    <row r="593">
      <c r="B593" s="87"/>
      <c r="C593" s="88"/>
      <c r="D593" s="88"/>
      <c r="E593" s="88"/>
      <c r="F593" s="88"/>
      <c r="G593" s="114"/>
    </row>
    <row r="594">
      <c r="B594" s="87"/>
      <c r="C594" s="88"/>
      <c r="D594" s="88"/>
      <c r="E594" s="88"/>
      <c r="F594" s="88"/>
      <c r="G594" s="114"/>
    </row>
    <row r="595">
      <c r="B595" s="87"/>
      <c r="C595" s="88"/>
      <c r="D595" s="88"/>
      <c r="E595" s="88"/>
      <c r="F595" s="88"/>
      <c r="G595" s="114"/>
    </row>
    <row r="596">
      <c r="B596" s="87"/>
      <c r="C596" s="88"/>
      <c r="D596" s="88"/>
      <c r="E596" s="88"/>
      <c r="F596" s="88"/>
      <c r="G596" s="114"/>
    </row>
    <row r="597">
      <c r="B597" s="87"/>
      <c r="C597" s="88"/>
      <c r="D597" s="88"/>
      <c r="E597" s="88"/>
      <c r="F597" s="88"/>
      <c r="G597" s="114"/>
    </row>
    <row r="598">
      <c r="B598" s="87"/>
      <c r="C598" s="88"/>
      <c r="D598" s="88"/>
      <c r="E598" s="88"/>
      <c r="F598" s="88"/>
      <c r="G598" s="114"/>
    </row>
    <row r="599">
      <c r="B599" s="87"/>
      <c r="C599" s="88"/>
      <c r="D599" s="88"/>
      <c r="E599" s="88"/>
      <c r="F599" s="88"/>
      <c r="G599" s="114"/>
    </row>
    <row r="600">
      <c r="B600" s="87"/>
      <c r="C600" s="88"/>
      <c r="D600" s="88"/>
      <c r="E600" s="88"/>
      <c r="F600" s="88"/>
      <c r="G600" s="114"/>
    </row>
    <row r="601">
      <c r="B601" s="87"/>
      <c r="C601" s="88"/>
      <c r="D601" s="88"/>
      <c r="E601" s="88"/>
      <c r="F601" s="88"/>
      <c r="G601" s="114"/>
    </row>
    <row r="602">
      <c r="B602" s="87"/>
      <c r="C602" s="88"/>
      <c r="D602" s="88"/>
      <c r="E602" s="88"/>
      <c r="F602" s="88"/>
      <c r="G602" s="114"/>
    </row>
    <row r="603">
      <c r="B603" s="87"/>
      <c r="C603" s="88"/>
      <c r="D603" s="88"/>
      <c r="E603" s="88"/>
      <c r="F603" s="88"/>
      <c r="G603" s="114"/>
    </row>
    <row r="604">
      <c r="B604" s="87"/>
      <c r="C604" s="88"/>
      <c r="D604" s="88"/>
      <c r="E604" s="88"/>
      <c r="F604" s="88"/>
      <c r="G604" s="114"/>
    </row>
    <row r="605">
      <c r="B605" s="87"/>
      <c r="C605" s="88"/>
      <c r="D605" s="88"/>
      <c r="E605" s="88"/>
      <c r="F605" s="88"/>
      <c r="G605" s="114"/>
    </row>
    <row r="606">
      <c r="B606" s="87"/>
      <c r="C606" s="88"/>
      <c r="D606" s="88"/>
      <c r="E606" s="88"/>
      <c r="F606" s="88"/>
      <c r="G606" s="114"/>
    </row>
    <row r="607">
      <c r="B607" s="87"/>
      <c r="C607" s="88"/>
      <c r="D607" s="88"/>
      <c r="E607" s="88"/>
      <c r="F607" s="88"/>
      <c r="G607" s="114"/>
    </row>
    <row r="608">
      <c r="B608" s="87"/>
      <c r="C608" s="88"/>
      <c r="D608" s="88"/>
      <c r="E608" s="88"/>
      <c r="F608" s="88"/>
      <c r="G608" s="114"/>
    </row>
    <row r="609">
      <c r="B609" s="87"/>
      <c r="C609" s="88"/>
      <c r="D609" s="88"/>
      <c r="E609" s="88"/>
      <c r="F609" s="88"/>
      <c r="G609" s="114"/>
    </row>
    <row r="610">
      <c r="B610" s="87"/>
      <c r="C610" s="88"/>
      <c r="D610" s="88"/>
      <c r="E610" s="88"/>
      <c r="F610" s="88"/>
      <c r="G610" s="114"/>
    </row>
    <row r="611">
      <c r="B611" s="87"/>
      <c r="C611" s="88"/>
      <c r="D611" s="88"/>
      <c r="E611" s="88"/>
      <c r="F611" s="88"/>
      <c r="G611" s="114"/>
    </row>
    <row r="612">
      <c r="B612" s="87"/>
      <c r="C612" s="88"/>
      <c r="D612" s="88"/>
      <c r="E612" s="88"/>
      <c r="F612" s="88"/>
      <c r="G612" s="114"/>
    </row>
    <row r="613">
      <c r="B613" s="87"/>
      <c r="C613" s="88"/>
      <c r="D613" s="88"/>
      <c r="E613" s="88"/>
      <c r="F613" s="88"/>
      <c r="G613" s="114"/>
    </row>
    <row r="614">
      <c r="B614" s="87"/>
      <c r="C614" s="88"/>
      <c r="D614" s="88"/>
      <c r="E614" s="88"/>
      <c r="F614" s="88"/>
      <c r="G614" s="114"/>
    </row>
    <row r="615">
      <c r="B615" s="87"/>
      <c r="C615" s="88"/>
      <c r="D615" s="88"/>
      <c r="E615" s="88"/>
      <c r="F615" s="88"/>
      <c r="G615" s="114"/>
    </row>
    <row r="616">
      <c r="B616" s="87"/>
      <c r="C616" s="88"/>
      <c r="D616" s="88"/>
      <c r="E616" s="88"/>
      <c r="F616" s="88"/>
      <c r="G616" s="114"/>
    </row>
    <row r="617">
      <c r="B617" s="87"/>
      <c r="C617" s="88"/>
      <c r="D617" s="88"/>
      <c r="E617" s="88"/>
      <c r="F617" s="88"/>
      <c r="G617" s="114"/>
    </row>
    <row r="618">
      <c r="B618" s="87"/>
      <c r="C618" s="88"/>
      <c r="D618" s="88"/>
      <c r="E618" s="88"/>
      <c r="F618" s="88"/>
      <c r="G618" s="114"/>
    </row>
    <row r="619">
      <c r="B619" s="87"/>
      <c r="C619" s="88"/>
      <c r="D619" s="88"/>
      <c r="E619" s="88"/>
      <c r="F619" s="88"/>
      <c r="G619" s="114"/>
    </row>
    <row r="620">
      <c r="B620" s="87"/>
      <c r="C620" s="88"/>
      <c r="D620" s="88"/>
      <c r="E620" s="88"/>
      <c r="F620" s="88"/>
      <c r="G620" s="114"/>
    </row>
    <row r="621">
      <c r="B621" s="87"/>
      <c r="C621" s="88"/>
      <c r="D621" s="88"/>
      <c r="E621" s="88"/>
      <c r="F621" s="88"/>
      <c r="G621" s="114"/>
    </row>
    <row r="622">
      <c r="B622" s="87"/>
      <c r="C622" s="88"/>
      <c r="D622" s="88"/>
      <c r="E622" s="88"/>
      <c r="F622" s="88"/>
      <c r="G622" s="114"/>
    </row>
    <row r="623">
      <c r="B623" s="87"/>
      <c r="C623" s="88"/>
      <c r="D623" s="88"/>
      <c r="E623" s="88"/>
      <c r="F623" s="88"/>
      <c r="G623" s="114"/>
    </row>
    <row r="624">
      <c r="B624" s="87"/>
      <c r="C624" s="88"/>
      <c r="D624" s="88"/>
      <c r="E624" s="88"/>
      <c r="F624" s="88"/>
      <c r="G624" s="114"/>
    </row>
    <row r="625">
      <c r="B625" s="87"/>
      <c r="C625" s="88"/>
      <c r="D625" s="88"/>
      <c r="E625" s="88"/>
      <c r="F625" s="88"/>
      <c r="G625" s="114"/>
    </row>
    <row r="626">
      <c r="B626" s="87"/>
      <c r="C626" s="88"/>
      <c r="D626" s="88"/>
      <c r="E626" s="88"/>
      <c r="F626" s="88"/>
      <c r="G626" s="114"/>
    </row>
    <row r="627">
      <c r="B627" s="87"/>
      <c r="C627" s="88"/>
      <c r="D627" s="88"/>
      <c r="E627" s="88"/>
      <c r="F627" s="88"/>
      <c r="G627" s="114"/>
    </row>
    <row r="628">
      <c r="B628" s="87"/>
      <c r="C628" s="88"/>
      <c r="D628" s="88"/>
      <c r="E628" s="88"/>
      <c r="F628" s="88"/>
      <c r="G628" s="114"/>
    </row>
    <row r="629">
      <c r="B629" s="87"/>
      <c r="C629" s="88"/>
      <c r="D629" s="88"/>
      <c r="E629" s="88"/>
      <c r="F629" s="88"/>
      <c r="G629" s="114"/>
    </row>
    <row r="630">
      <c r="B630" s="87"/>
      <c r="C630" s="88"/>
      <c r="D630" s="88"/>
      <c r="E630" s="88"/>
      <c r="F630" s="88"/>
      <c r="G630" s="114"/>
    </row>
    <row r="631">
      <c r="B631" s="87"/>
      <c r="C631" s="88"/>
      <c r="D631" s="88"/>
      <c r="E631" s="88"/>
      <c r="F631" s="88"/>
      <c r="G631" s="114"/>
    </row>
    <row r="632">
      <c r="B632" s="87"/>
      <c r="C632" s="88"/>
      <c r="D632" s="88"/>
      <c r="E632" s="88"/>
      <c r="F632" s="88"/>
      <c r="G632" s="114"/>
    </row>
    <row r="633">
      <c r="B633" s="87"/>
      <c r="C633" s="88"/>
      <c r="D633" s="88"/>
      <c r="E633" s="88"/>
      <c r="F633" s="88"/>
      <c r="G633" s="114"/>
    </row>
    <row r="634">
      <c r="B634" s="87"/>
      <c r="C634" s="88"/>
      <c r="D634" s="88"/>
      <c r="E634" s="88"/>
      <c r="F634" s="88"/>
      <c r="G634" s="114"/>
    </row>
    <row r="635">
      <c r="B635" s="87"/>
      <c r="C635" s="88"/>
      <c r="D635" s="88"/>
      <c r="E635" s="88"/>
      <c r="F635" s="88"/>
      <c r="G635" s="114"/>
    </row>
    <row r="636">
      <c r="B636" s="87"/>
      <c r="C636" s="88"/>
      <c r="D636" s="88"/>
      <c r="E636" s="88"/>
      <c r="F636" s="88"/>
      <c r="G636" s="114"/>
    </row>
    <row r="637">
      <c r="B637" s="87"/>
      <c r="C637" s="88"/>
      <c r="D637" s="88"/>
      <c r="E637" s="88"/>
      <c r="F637" s="88"/>
      <c r="G637" s="114"/>
    </row>
    <row r="638">
      <c r="B638" s="87"/>
      <c r="C638" s="88"/>
      <c r="D638" s="88"/>
      <c r="E638" s="88"/>
      <c r="F638" s="88"/>
      <c r="G638" s="114"/>
    </row>
    <row r="639">
      <c r="B639" s="87"/>
      <c r="C639" s="88"/>
      <c r="D639" s="88"/>
      <c r="E639" s="88"/>
      <c r="F639" s="88"/>
      <c r="G639" s="114"/>
    </row>
    <row r="640">
      <c r="B640" s="87"/>
      <c r="C640" s="88"/>
      <c r="D640" s="88"/>
      <c r="E640" s="88"/>
      <c r="F640" s="88"/>
      <c r="G640" s="114"/>
    </row>
    <row r="641">
      <c r="B641" s="87"/>
      <c r="C641" s="88"/>
      <c r="D641" s="88"/>
      <c r="E641" s="88"/>
      <c r="F641" s="88"/>
      <c r="G641" s="114"/>
    </row>
    <row r="642">
      <c r="B642" s="87"/>
      <c r="C642" s="88"/>
      <c r="D642" s="88"/>
      <c r="E642" s="88"/>
      <c r="F642" s="88"/>
      <c r="G642" s="114"/>
    </row>
    <row r="643">
      <c r="B643" s="87"/>
      <c r="C643" s="88"/>
      <c r="D643" s="88"/>
      <c r="E643" s="88"/>
      <c r="F643" s="88"/>
      <c r="G643" s="114"/>
    </row>
    <row r="644">
      <c r="B644" s="87"/>
      <c r="C644" s="88"/>
      <c r="D644" s="88"/>
      <c r="E644" s="88"/>
      <c r="F644" s="88"/>
      <c r="G644" s="114"/>
    </row>
    <row r="645">
      <c r="B645" s="87"/>
      <c r="C645" s="88"/>
      <c r="D645" s="88"/>
      <c r="E645" s="88"/>
      <c r="F645" s="88"/>
      <c r="G645" s="114"/>
    </row>
    <row r="646">
      <c r="B646" s="87"/>
      <c r="C646" s="88"/>
      <c r="D646" s="88"/>
      <c r="E646" s="88"/>
      <c r="F646" s="88"/>
      <c r="G646" s="114"/>
    </row>
    <row r="647">
      <c r="B647" s="87"/>
      <c r="C647" s="88"/>
      <c r="D647" s="88"/>
      <c r="E647" s="88"/>
      <c r="F647" s="88"/>
      <c r="G647" s="114"/>
    </row>
    <row r="648">
      <c r="B648" s="87"/>
      <c r="C648" s="88"/>
      <c r="D648" s="88"/>
      <c r="E648" s="88"/>
      <c r="F648" s="88"/>
      <c r="G648" s="114"/>
    </row>
    <row r="649">
      <c r="B649" s="87"/>
      <c r="C649" s="88"/>
      <c r="D649" s="88"/>
      <c r="E649" s="88"/>
      <c r="F649" s="88"/>
      <c r="G649" s="114"/>
    </row>
    <row r="650">
      <c r="B650" s="87"/>
      <c r="C650" s="88"/>
      <c r="D650" s="88"/>
      <c r="E650" s="88"/>
      <c r="F650" s="88"/>
      <c r="G650" s="114"/>
    </row>
    <row r="651">
      <c r="B651" s="87"/>
      <c r="C651" s="88"/>
      <c r="D651" s="88"/>
      <c r="E651" s="88"/>
      <c r="F651" s="88"/>
      <c r="G651" s="114"/>
    </row>
    <row r="652">
      <c r="B652" s="87"/>
      <c r="C652" s="88"/>
      <c r="D652" s="88"/>
      <c r="E652" s="88"/>
      <c r="F652" s="88"/>
      <c r="G652" s="114"/>
    </row>
    <row r="653">
      <c r="B653" s="87"/>
      <c r="C653" s="88"/>
      <c r="D653" s="88"/>
      <c r="E653" s="88"/>
      <c r="F653" s="88"/>
      <c r="G653" s="114"/>
    </row>
    <row r="654">
      <c r="B654" s="87"/>
      <c r="C654" s="88"/>
      <c r="D654" s="88"/>
      <c r="E654" s="88"/>
      <c r="F654" s="88"/>
      <c r="G654" s="114"/>
    </row>
    <row r="655">
      <c r="B655" s="87"/>
      <c r="C655" s="88"/>
      <c r="D655" s="88"/>
      <c r="E655" s="88"/>
      <c r="F655" s="88"/>
      <c r="G655" s="114"/>
    </row>
    <row r="656">
      <c r="B656" s="87"/>
      <c r="C656" s="88"/>
      <c r="D656" s="88"/>
      <c r="E656" s="88"/>
      <c r="F656" s="88"/>
      <c r="G656" s="114"/>
    </row>
    <row r="657">
      <c r="B657" s="87"/>
      <c r="C657" s="88"/>
      <c r="D657" s="88"/>
      <c r="E657" s="88"/>
      <c r="F657" s="88"/>
      <c r="G657" s="114"/>
    </row>
    <row r="658">
      <c r="B658" s="87"/>
      <c r="C658" s="88"/>
      <c r="D658" s="88"/>
      <c r="E658" s="88"/>
      <c r="F658" s="88"/>
      <c r="G658" s="114"/>
    </row>
    <row r="659">
      <c r="B659" s="87"/>
      <c r="C659" s="88"/>
      <c r="D659" s="88"/>
      <c r="E659" s="88"/>
      <c r="F659" s="88"/>
      <c r="G659" s="114"/>
    </row>
    <row r="660">
      <c r="B660" s="87"/>
      <c r="C660" s="88"/>
      <c r="D660" s="88"/>
      <c r="E660" s="88"/>
      <c r="F660" s="88"/>
      <c r="G660" s="114"/>
    </row>
    <row r="661">
      <c r="B661" s="87"/>
      <c r="C661" s="88"/>
      <c r="D661" s="88"/>
      <c r="E661" s="88"/>
      <c r="F661" s="88"/>
      <c r="G661" s="114"/>
    </row>
    <row r="662">
      <c r="B662" s="87"/>
      <c r="C662" s="88"/>
      <c r="D662" s="88"/>
      <c r="E662" s="88"/>
      <c r="F662" s="88"/>
      <c r="G662" s="114"/>
    </row>
    <row r="663">
      <c r="B663" s="87"/>
      <c r="C663" s="88"/>
      <c r="D663" s="88"/>
      <c r="E663" s="88"/>
      <c r="F663" s="88"/>
      <c r="G663" s="114"/>
    </row>
    <row r="664">
      <c r="B664" s="87"/>
      <c r="C664" s="88"/>
      <c r="D664" s="88"/>
      <c r="E664" s="88"/>
      <c r="F664" s="88"/>
      <c r="G664" s="114"/>
    </row>
    <row r="665">
      <c r="B665" s="87"/>
      <c r="C665" s="88"/>
      <c r="D665" s="88"/>
      <c r="E665" s="88"/>
      <c r="F665" s="88"/>
      <c r="G665" s="114"/>
    </row>
    <row r="666">
      <c r="B666" s="87"/>
      <c r="C666" s="88"/>
      <c r="D666" s="88"/>
      <c r="E666" s="88"/>
      <c r="F666" s="88"/>
      <c r="G666" s="114"/>
    </row>
    <row r="667">
      <c r="B667" s="87"/>
      <c r="C667" s="88"/>
      <c r="D667" s="88"/>
      <c r="E667" s="88"/>
      <c r="F667" s="88"/>
      <c r="G667" s="114"/>
    </row>
    <row r="668">
      <c r="B668" s="87"/>
      <c r="C668" s="88"/>
      <c r="D668" s="88"/>
      <c r="E668" s="88"/>
      <c r="F668" s="88"/>
      <c r="G668" s="114"/>
    </row>
    <row r="669">
      <c r="B669" s="87"/>
      <c r="C669" s="88"/>
      <c r="D669" s="88"/>
      <c r="E669" s="88"/>
      <c r="F669" s="88"/>
      <c r="G669" s="114"/>
    </row>
    <row r="670">
      <c r="B670" s="87"/>
      <c r="C670" s="88"/>
      <c r="D670" s="88"/>
      <c r="E670" s="88"/>
      <c r="F670" s="88"/>
      <c r="G670" s="114"/>
    </row>
    <row r="671">
      <c r="B671" s="87"/>
      <c r="C671" s="88"/>
      <c r="D671" s="88"/>
      <c r="E671" s="88"/>
      <c r="F671" s="88"/>
      <c r="G671" s="114"/>
    </row>
    <row r="672">
      <c r="B672" s="87"/>
      <c r="C672" s="88"/>
      <c r="D672" s="88"/>
      <c r="E672" s="88"/>
      <c r="F672" s="88"/>
      <c r="G672" s="114"/>
    </row>
    <row r="673">
      <c r="B673" s="87"/>
      <c r="C673" s="88"/>
      <c r="D673" s="88"/>
      <c r="E673" s="88"/>
      <c r="F673" s="88"/>
      <c r="G673" s="114"/>
    </row>
    <row r="674">
      <c r="B674" s="87"/>
      <c r="C674" s="88"/>
      <c r="D674" s="88"/>
      <c r="E674" s="88"/>
      <c r="F674" s="88"/>
      <c r="G674" s="114"/>
    </row>
    <row r="675">
      <c r="B675" s="87"/>
      <c r="C675" s="88"/>
      <c r="D675" s="88"/>
      <c r="E675" s="88"/>
      <c r="F675" s="88"/>
      <c r="G675" s="114"/>
    </row>
    <row r="676">
      <c r="B676" s="87"/>
      <c r="C676" s="88"/>
      <c r="D676" s="88"/>
      <c r="E676" s="88"/>
      <c r="F676" s="88"/>
      <c r="G676" s="114"/>
    </row>
    <row r="677">
      <c r="B677" s="87"/>
      <c r="C677" s="88"/>
      <c r="D677" s="88"/>
      <c r="E677" s="88"/>
      <c r="F677" s="88"/>
      <c r="G677" s="114"/>
    </row>
    <row r="678">
      <c r="B678" s="87"/>
      <c r="C678" s="88"/>
      <c r="D678" s="88"/>
      <c r="E678" s="88"/>
      <c r="F678" s="88"/>
      <c r="G678" s="114"/>
    </row>
    <row r="679">
      <c r="B679" s="87"/>
      <c r="C679" s="88"/>
      <c r="D679" s="88"/>
      <c r="E679" s="88"/>
      <c r="F679" s="88"/>
      <c r="G679" s="114"/>
    </row>
    <row r="680">
      <c r="B680" s="87"/>
      <c r="C680" s="88"/>
      <c r="D680" s="88"/>
      <c r="E680" s="88"/>
      <c r="F680" s="88"/>
      <c r="G680" s="114"/>
    </row>
    <row r="681">
      <c r="B681" s="87"/>
      <c r="C681" s="88"/>
      <c r="D681" s="88"/>
      <c r="E681" s="88"/>
      <c r="F681" s="88"/>
      <c r="G681" s="114"/>
    </row>
    <row r="682">
      <c r="B682" s="87"/>
      <c r="C682" s="88"/>
      <c r="D682" s="88"/>
      <c r="E682" s="88"/>
      <c r="F682" s="88"/>
      <c r="G682" s="114"/>
    </row>
    <row r="683">
      <c r="B683" s="87"/>
      <c r="C683" s="88"/>
      <c r="D683" s="88"/>
      <c r="E683" s="88"/>
      <c r="F683" s="88"/>
      <c r="G683" s="114"/>
    </row>
    <row r="684">
      <c r="B684" s="87"/>
      <c r="C684" s="88"/>
      <c r="D684" s="88"/>
      <c r="E684" s="88"/>
      <c r="F684" s="88"/>
      <c r="G684" s="114"/>
    </row>
    <row r="685">
      <c r="B685" s="87"/>
      <c r="C685" s="88"/>
      <c r="D685" s="88"/>
      <c r="E685" s="88"/>
      <c r="F685" s="88"/>
      <c r="G685" s="114"/>
    </row>
    <row r="686">
      <c r="B686" s="87"/>
      <c r="C686" s="88"/>
      <c r="D686" s="88"/>
      <c r="E686" s="88"/>
      <c r="F686" s="88"/>
      <c r="G686" s="114"/>
    </row>
    <row r="687">
      <c r="B687" s="87"/>
      <c r="C687" s="88"/>
      <c r="D687" s="88"/>
      <c r="E687" s="88"/>
      <c r="F687" s="88"/>
      <c r="G687" s="114"/>
    </row>
    <row r="688">
      <c r="B688" s="87"/>
      <c r="C688" s="88"/>
      <c r="D688" s="88"/>
      <c r="E688" s="88"/>
      <c r="F688" s="88"/>
      <c r="G688" s="114"/>
    </row>
    <row r="689">
      <c r="B689" s="87"/>
      <c r="C689" s="88"/>
      <c r="D689" s="88"/>
      <c r="E689" s="88"/>
      <c r="F689" s="88"/>
      <c r="G689" s="114"/>
    </row>
    <row r="690">
      <c r="B690" s="87"/>
      <c r="C690" s="88"/>
      <c r="D690" s="88"/>
      <c r="E690" s="88"/>
      <c r="F690" s="88"/>
      <c r="G690" s="114"/>
    </row>
    <row r="691">
      <c r="B691" s="87"/>
      <c r="C691" s="88"/>
      <c r="D691" s="88"/>
      <c r="E691" s="88"/>
      <c r="F691" s="88"/>
      <c r="G691" s="114"/>
    </row>
    <row r="692">
      <c r="B692" s="87"/>
      <c r="C692" s="88"/>
      <c r="D692" s="88"/>
      <c r="E692" s="88"/>
      <c r="F692" s="88"/>
      <c r="G692" s="114"/>
    </row>
    <row r="693">
      <c r="B693" s="87"/>
      <c r="C693" s="88"/>
      <c r="D693" s="88"/>
      <c r="E693" s="88"/>
      <c r="F693" s="88"/>
      <c r="G693" s="114"/>
    </row>
    <row r="694">
      <c r="B694" s="87"/>
      <c r="C694" s="88"/>
      <c r="D694" s="88"/>
      <c r="E694" s="88"/>
      <c r="F694" s="88"/>
      <c r="G694" s="114"/>
    </row>
    <row r="695">
      <c r="B695" s="87"/>
      <c r="C695" s="88"/>
      <c r="D695" s="88"/>
      <c r="E695" s="88"/>
      <c r="F695" s="88"/>
      <c r="G695" s="114"/>
    </row>
    <row r="696">
      <c r="B696" s="87"/>
      <c r="C696" s="88"/>
      <c r="D696" s="88"/>
      <c r="E696" s="88"/>
      <c r="F696" s="88"/>
      <c r="G696" s="114"/>
    </row>
    <row r="697">
      <c r="B697" s="87"/>
      <c r="C697" s="88"/>
      <c r="D697" s="88"/>
      <c r="E697" s="88"/>
      <c r="F697" s="88"/>
      <c r="G697" s="114"/>
    </row>
    <row r="698">
      <c r="B698" s="87"/>
      <c r="C698" s="88"/>
      <c r="D698" s="88"/>
      <c r="E698" s="88"/>
      <c r="F698" s="88"/>
      <c r="G698" s="114"/>
    </row>
    <row r="699">
      <c r="B699" s="87"/>
      <c r="C699" s="88"/>
      <c r="D699" s="88"/>
      <c r="E699" s="88"/>
      <c r="F699" s="88"/>
      <c r="G699" s="114"/>
    </row>
    <row r="700">
      <c r="B700" s="87"/>
      <c r="C700" s="88"/>
      <c r="D700" s="88"/>
      <c r="E700" s="88"/>
      <c r="F700" s="88"/>
      <c r="G700" s="114"/>
    </row>
    <row r="701">
      <c r="B701" s="87"/>
      <c r="C701" s="88"/>
      <c r="D701" s="88"/>
      <c r="E701" s="88"/>
      <c r="F701" s="88"/>
      <c r="G701" s="114"/>
    </row>
    <row r="702">
      <c r="B702" s="87"/>
      <c r="C702" s="88"/>
      <c r="D702" s="88"/>
      <c r="E702" s="88"/>
      <c r="F702" s="88"/>
      <c r="G702" s="114"/>
    </row>
    <row r="703">
      <c r="B703" s="87"/>
      <c r="C703" s="88"/>
      <c r="D703" s="88"/>
      <c r="E703" s="88"/>
      <c r="F703" s="88"/>
      <c r="G703" s="114"/>
    </row>
    <row r="704">
      <c r="B704" s="87"/>
      <c r="C704" s="88"/>
      <c r="D704" s="88"/>
      <c r="E704" s="88"/>
      <c r="F704" s="88"/>
      <c r="G704" s="114"/>
    </row>
    <row r="705">
      <c r="B705" s="87"/>
      <c r="C705" s="88"/>
      <c r="D705" s="88"/>
      <c r="E705" s="88"/>
      <c r="F705" s="88"/>
      <c r="G705" s="114"/>
    </row>
    <row r="706">
      <c r="B706" s="87"/>
      <c r="C706" s="88"/>
      <c r="D706" s="88"/>
      <c r="E706" s="88"/>
      <c r="F706" s="88"/>
      <c r="G706" s="114"/>
    </row>
    <row r="707">
      <c r="B707" s="87"/>
      <c r="C707" s="88"/>
      <c r="D707" s="88"/>
      <c r="E707" s="88"/>
      <c r="F707" s="88"/>
      <c r="G707" s="114"/>
    </row>
    <row r="708">
      <c r="B708" s="87"/>
      <c r="C708" s="88"/>
      <c r="D708" s="88"/>
      <c r="E708" s="88"/>
      <c r="F708" s="88"/>
      <c r="G708" s="114"/>
    </row>
    <row r="709">
      <c r="B709" s="87"/>
      <c r="C709" s="88"/>
      <c r="D709" s="88"/>
      <c r="E709" s="88"/>
      <c r="F709" s="88"/>
      <c r="G709" s="114"/>
    </row>
    <row r="710">
      <c r="B710" s="87"/>
      <c r="C710" s="88"/>
      <c r="D710" s="88"/>
      <c r="E710" s="88"/>
      <c r="F710" s="88"/>
      <c r="G710" s="114"/>
    </row>
    <row r="711">
      <c r="B711" s="87"/>
      <c r="C711" s="88"/>
      <c r="D711" s="88"/>
      <c r="E711" s="88"/>
      <c r="F711" s="88"/>
      <c r="G711" s="114"/>
    </row>
    <row r="712">
      <c r="B712" s="87"/>
      <c r="C712" s="88"/>
      <c r="D712" s="88"/>
      <c r="E712" s="88"/>
      <c r="F712" s="88"/>
      <c r="G712" s="114"/>
    </row>
    <row r="713">
      <c r="B713" s="87"/>
      <c r="C713" s="88"/>
      <c r="D713" s="88"/>
      <c r="E713" s="88"/>
      <c r="F713" s="88"/>
      <c r="G713" s="114"/>
    </row>
    <row r="714">
      <c r="B714" s="87"/>
      <c r="C714" s="88"/>
      <c r="D714" s="88"/>
      <c r="E714" s="88"/>
      <c r="F714" s="88"/>
      <c r="G714" s="114"/>
    </row>
    <row r="715">
      <c r="B715" s="87"/>
      <c r="C715" s="88"/>
      <c r="D715" s="88"/>
      <c r="E715" s="88"/>
      <c r="F715" s="88"/>
      <c r="G715" s="114"/>
    </row>
    <row r="716">
      <c r="B716" s="87"/>
      <c r="C716" s="88"/>
      <c r="D716" s="88"/>
      <c r="E716" s="88"/>
      <c r="F716" s="88"/>
      <c r="G716" s="114"/>
    </row>
    <row r="717">
      <c r="B717" s="87"/>
      <c r="C717" s="88"/>
      <c r="D717" s="88"/>
      <c r="E717" s="88"/>
      <c r="F717" s="88"/>
      <c r="G717" s="114"/>
    </row>
    <row r="718">
      <c r="B718" s="87"/>
      <c r="C718" s="88"/>
      <c r="D718" s="88"/>
      <c r="E718" s="88"/>
      <c r="F718" s="88"/>
      <c r="G718" s="114"/>
    </row>
    <row r="719">
      <c r="B719" s="87"/>
      <c r="C719" s="88"/>
      <c r="D719" s="88"/>
      <c r="E719" s="88"/>
      <c r="F719" s="88"/>
      <c r="G719" s="114"/>
    </row>
    <row r="720">
      <c r="B720" s="87"/>
      <c r="C720" s="88"/>
      <c r="D720" s="88"/>
      <c r="E720" s="88"/>
      <c r="F720" s="88"/>
      <c r="G720" s="114"/>
    </row>
    <row r="721">
      <c r="B721" s="87"/>
      <c r="C721" s="88"/>
      <c r="D721" s="88"/>
      <c r="E721" s="88"/>
      <c r="F721" s="88"/>
      <c r="G721" s="114"/>
    </row>
    <row r="722">
      <c r="B722" s="87"/>
      <c r="C722" s="88"/>
      <c r="D722" s="88"/>
      <c r="E722" s="88"/>
      <c r="F722" s="88"/>
      <c r="G722" s="114"/>
    </row>
    <row r="723">
      <c r="B723" s="87"/>
      <c r="C723" s="88"/>
      <c r="D723" s="88"/>
      <c r="E723" s="88"/>
      <c r="F723" s="88"/>
      <c r="G723" s="114"/>
    </row>
    <row r="724">
      <c r="B724" s="87"/>
      <c r="C724" s="88"/>
      <c r="D724" s="88"/>
      <c r="E724" s="88"/>
      <c r="F724" s="88"/>
      <c r="G724" s="114"/>
    </row>
    <row r="725">
      <c r="B725" s="87"/>
      <c r="C725" s="88"/>
      <c r="D725" s="88"/>
      <c r="E725" s="88"/>
      <c r="F725" s="88"/>
      <c r="G725" s="114"/>
    </row>
    <row r="726">
      <c r="B726" s="87"/>
      <c r="C726" s="88"/>
      <c r="D726" s="88"/>
      <c r="E726" s="88"/>
      <c r="F726" s="88"/>
      <c r="G726" s="114"/>
    </row>
    <row r="727">
      <c r="B727" s="87"/>
      <c r="C727" s="88"/>
      <c r="D727" s="88"/>
      <c r="E727" s="88"/>
      <c r="F727" s="88"/>
      <c r="G727" s="114"/>
    </row>
    <row r="728">
      <c r="B728" s="87"/>
      <c r="C728" s="88"/>
      <c r="D728" s="88"/>
      <c r="E728" s="88"/>
      <c r="F728" s="88"/>
      <c r="G728" s="114"/>
    </row>
    <row r="729">
      <c r="B729" s="87"/>
      <c r="C729" s="88"/>
      <c r="D729" s="88"/>
      <c r="E729" s="88"/>
      <c r="F729" s="88"/>
      <c r="G729" s="114"/>
    </row>
    <row r="730">
      <c r="B730" s="87"/>
      <c r="C730" s="88"/>
      <c r="D730" s="88"/>
      <c r="E730" s="88"/>
      <c r="F730" s="88"/>
      <c r="G730" s="114"/>
    </row>
    <row r="731">
      <c r="B731" s="87"/>
      <c r="C731" s="88"/>
      <c r="D731" s="88"/>
      <c r="E731" s="88"/>
      <c r="F731" s="88"/>
      <c r="G731" s="114"/>
    </row>
    <row r="732">
      <c r="B732" s="87"/>
      <c r="C732" s="88"/>
      <c r="D732" s="88"/>
      <c r="E732" s="88"/>
      <c r="F732" s="88"/>
      <c r="G732" s="114"/>
    </row>
    <row r="733">
      <c r="B733" s="87"/>
      <c r="C733" s="88"/>
      <c r="D733" s="88"/>
      <c r="E733" s="88"/>
      <c r="F733" s="88"/>
      <c r="G733" s="114"/>
    </row>
    <row r="734">
      <c r="B734" s="87"/>
      <c r="C734" s="88"/>
      <c r="D734" s="88"/>
      <c r="E734" s="88"/>
      <c r="F734" s="88"/>
      <c r="G734" s="114"/>
    </row>
    <row r="735">
      <c r="B735" s="87"/>
      <c r="C735" s="88"/>
      <c r="D735" s="88"/>
      <c r="E735" s="88"/>
      <c r="F735" s="88"/>
      <c r="G735" s="114"/>
    </row>
    <row r="736">
      <c r="B736" s="87"/>
      <c r="C736" s="88"/>
      <c r="D736" s="88"/>
      <c r="E736" s="88"/>
      <c r="F736" s="88"/>
      <c r="G736" s="114"/>
    </row>
    <row r="737">
      <c r="B737" s="87"/>
      <c r="C737" s="88"/>
      <c r="D737" s="88"/>
      <c r="E737" s="88"/>
      <c r="F737" s="88"/>
      <c r="G737" s="114"/>
    </row>
    <row r="738">
      <c r="B738" s="87"/>
      <c r="C738" s="88"/>
      <c r="D738" s="88"/>
      <c r="E738" s="88"/>
      <c r="F738" s="88"/>
      <c r="G738" s="114"/>
    </row>
    <row r="739">
      <c r="B739" s="87"/>
      <c r="C739" s="88"/>
      <c r="D739" s="88"/>
      <c r="E739" s="88"/>
      <c r="F739" s="88"/>
      <c r="G739" s="114"/>
    </row>
    <row r="740">
      <c r="B740" s="87"/>
      <c r="C740" s="88"/>
      <c r="D740" s="88"/>
      <c r="E740" s="88"/>
      <c r="F740" s="88"/>
      <c r="G740" s="114"/>
    </row>
    <row r="741">
      <c r="B741" s="87"/>
      <c r="C741" s="88"/>
      <c r="D741" s="88"/>
      <c r="E741" s="88"/>
      <c r="F741" s="88"/>
      <c r="G741" s="114"/>
    </row>
    <row r="742">
      <c r="B742" s="87"/>
      <c r="C742" s="88"/>
      <c r="D742" s="88"/>
      <c r="E742" s="88"/>
      <c r="F742" s="88"/>
      <c r="G742" s="114"/>
    </row>
    <row r="743">
      <c r="B743" s="87"/>
      <c r="C743" s="88"/>
      <c r="D743" s="88"/>
      <c r="E743" s="88"/>
      <c r="F743" s="88"/>
      <c r="G743" s="114"/>
    </row>
    <row r="744">
      <c r="B744" s="87"/>
      <c r="C744" s="88"/>
      <c r="D744" s="88"/>
      <c r="E744" s="88"/>
      <c r="F744" s="88"/>
      <c r="G744" s="114"/>
    </row>
    <row r="745">
      <c r="B745" s="87"/>
      <c r="C745" s="88"/>
      <c r="D745" s="88"/>
      <c r="E745" s="88"/>
      <c r="F745" s="88"/>
      <c r="G745" s="114"/>
    </row>
    <row r="746">
      <c r="B746" s="87"/>
      <c r="C746" s="88"/>
      <c r="D746" s="88"/>
      <c r="E746" s="88"/>
      <c r="F746" s="88"/>
      <c r="G746" s="114"/>
    </row>
    <row r="747">
      <c r="B747" s="87"/>
      <c r="C747" s="88"/>
      <c r="D747" s="88"/>
      <c r="E747" s="88"/>
      <c r="F747" s="88"/>
      <c r="G747" s="114"/>
    </row>
    <row r="748">
      <c r="B748" s="87"/>
      <c r="C748" s="88"/>
      <c r="D748" s="88"/>
      <c r="E748" s="88"/>
      <c r="F748" s="88"/>
      <c r="G748" s="114"/>
    </row>
    <row r="749">
      <c r="B749" s="87"/>
      <c r="C749" s="88"/>
      <c r="D749" s="88"/>
      <c r="E749" s="88"/>
      <c r="F749" s="88"/>
      <c r="G749" s="114"/>
    </row>
    <row r="750">
      <c r="B750" s="87"/>
      <c r="C750" s="88"/>
      <c r="D750" s="88"/>
      <c r="E750" s="88"/>
      <c r="F750" s="88"/>
      <c r="G750" s="114"/>
    </row>
    <row r="751">
      <c r="B751" s="87"/>
      <c r="C751" s="88"/>
      <c r="D751" s="88"/>
      <c r="E751" s="88"/>
      <c r="F751" s="88"/>
      <c r="G751" s="114"/>
    </row>
    <row r="752">
      <c r="B752" s="87"/>
      <c r="C752" s="88"/>
      <c r="D752" s="88"/>
      <c r="E752" s="88"/>
      <c r="F752" s="88"/>
      <c r="G752" s="114"/>
    </row>
    <row r="753">
      <c r="B753" s="87"/>
      <c r="C753" s="88"/>
      <c r="D753" s="88"/>
      <c r="E753" s="88"/>
      <c r="F753" s="88"/>
      <c r="G753" s="114"/>
    </row>
    <row r="754">
      <c r="B754" s="87"/>
      <c r="C754" s="88"/>
      <c r="D754" s="88"/>
      <c r="E754" s="88"/>
      <c r="F754" s="88"/>
      <c r="G754" s="114"/>
    </row>
    <row r="755">
      <c r="B755" s="87"/>
      <c r="C755" s="88"/>
      <c r="D755" s="88"/>
      <c r="E755" s="88"/>
      <c r="F755" s="88"/>
      <c r="G755" s="114"/>
    </row>
    <row r="756">
      <c r="B756" s="87"/>
      <c r="C756" s="88"/>
      <c r="D756" s="88"/>
      <c r="E756" s="88"/>
      <c r="F756" s="88"/>
      <c r="G756" s="114"/>
    </row>
    <row r="757">
      <c r="B757" s="87"/>
      <c r="C757" s="88"/>
      <c r="D757" s="88"/>
      <c r="E757" s="88"/>
      <c r="F757" s="88"/>
      <c r="G757" s="114"/>
    </row>
    <row r="758">
      <c r="B758" s="87"/>
      <c r="C758" s="88"/>
      <c r="D758" s="88"/>
      <c r="E758" s="88"/>
      <c r="F758" s="88"/>
      <c r="G758" s="114"/>
    </row>
    <row r="759">
      <c r="B759" s="87"/>
      <c r="C759" s="88"/>
      <c r="D759" s="88"/>
      <c r="E759" s="88"/>
      <c r="F759" s="88"/>
      <c r="G759" s="114"/>
    </row>
    <row r="760">
      <c r="B760" s="87"/>
      <c r="C760" s="88"/>
      <c r="D760" s="88"/>
      <c r="E760" s="88"/>
      <c r="F760" s="88"/>
      <c r="G760" s="114"/>
    </row>
    <row r="761">
      <c r="B761" s="87"/>
      <c r="C761" s="88"/>
      <c r="D761" s="88"/>
      <c r="E761" s="88"/>
      <c r="F761" s="88"/>
      <c r="G761" s="114"/>
    </row>
    <row r="762">
      <c r="B762" s="87"/>
      <c r="C762" s="88"/>
      <c r="D762" s="88"/>
      <c r="E762" s="88"/>
      <c r="F762" s="88"/>
      <c r="G762" s="114"/>
    </row>
    <row r="763">
      <c r="B763" s="87"/>
      <c r="C763" s="88"/>
      <c r="D763" s="88"/>
      <c r="E763" s="88"/>
      <c r="F763" s="88"/>
      <c r="G763" s="114"/>
    </row>
    <row r="764">
      <c r="B764" s="87"/>
      <c r="C764" s="88"/>
      <c r="D764" s="88"/>
      <c r="E764" s="88"/>
      <c r="F764" s="88"/>
      <c r="G764" s="114"/>
    </row>
    <row r="765">
      <c r="B765" s="87"/>
      <c r="C765" s="88"/>
      <c r="D765" s="88"/>
      <c r="E765" s="88"/>
      <c r="F765" s="88"/>
      <c r="G765" s="114"/>
    </row>
    <row r="766">
      <c r="B766" s="87"/>
      <c r="C766" s="88"/>
      <c r="D766" s="88"/>
      <c r="E766" s="88"/>
      <c r="F766" s="88"/>
      <c r="G766" s="114"/>
    </row>
    <row r="767">
      <c r="B767" s="87"/>
      <c r="C767" s="88"/>
      <c r="D767" s="88"/>
      <c r="E767" s="88"/>
      <c r="F767" s="88"/>
      <c r="G767" s="114"/>
    </row>
    <row r="768">
      <c r="B768" s="87"/>
      <c r="C768" s="88"/>
      <c r="D768" s="88"/>
      <c r="E768" s="88"/>
      <c r="F768" s="88"/>
      <c r="G768" s="114"/>
    </row>
    <row r="769">
      <c r="B769" s="87"/>
      <c r="C769" s="88"/>
      <c r="D769" s="88"/>
      <c r="E769" s="88"/>
      <c r="F769" s="88"/>
      <c r="G769" s="114"/>
    </row>
    <row r="770">
      <c r="B770" s="87"/>
      <c r="C770" s="88"/>
      <c r="D770" s="88"/>
      <c r="E770" s="88"/>
      <c r="F770" s="88"/>
      <c r="G770" s="114"/>
    </row>
    <row r="771">
      <c r="B771" s="87"/>
      <c r="C771" s="88"/>
      <c r="D771" s="88"/>
      <c r="E771" s="88"/>
      <c r="F771" s="88"/>
      <c r="G771" s="114"/>
    </row>
    <row r="772">
      <c r="B772" s="87"/>
      <c r="C772" s="88"/>
      <c r="D772" s="88"/>
      <c r="E772" s="88"/>
      <c r="F772" s="88"/>
      <c r="G772" s="114"/>
    </row>
    <row r="773">
      <c r="B773" s="87"/>
      <c r="C773" s="88"/>
      <c r="D773" s="88"/>
      <c r="E773" s="88"/>
      <c r="F773" s="88"/>
      <c r="G773" s="114"/>
    </row>
    <row r="774">
      <c r="B774" s="87"/>
      <c r="C774" s="88"/>
      <c r="D774" s="88"/>
      <c r="E774" s="88"/>
      <c r="F774" s="88"/>
      <c r="G774" s="114"/>
    </row>
    <row r="775">
      <c r="B775" s="87"/>
      <c r="C775" s="88"/>
      <c r="D775" s="88"/>
      <c r="E775" s="88"/>
      <c r="F775" s="88"/>
      <c r="G775" s="114"/>
    </row>
    <row r="776">
      <c r="B776" s="87"/>
      <c r="C776" s="88"/>
      <c r="D776" s="88"/>
      <c r="E776" s="88"/>
      <c r="F776" s="88"/>
      <c r="G776" s="114"/>
    </row>
    <row r="777">
      <c r="B777" s="87"/>
      <c r="C777" s="88"/>
      <c r="D777" s="88"/>
      <c r="E777" s="88"/>
      <c r="F777" s="88"/>
      <c r="G777" s="114"/>
    </row>
    <row r="778">
      <c r="B778" s="87"/>
      <c r="C778" s="88"/>
      <c r="D778" s="88"/>
      <c r="E778" s="88"/>
      <c r="F778" s="88"/>
      <c r="G778" s="114"/>
    </row>
    <row r="779">
      <c r="B779" s="87"/>
      <c r="C779" s="88"/>
      <c r="D779" s="88"/>
      <c r="E779" s="88"/>
      <c r="F779" s="88"/>
      <c r="G779" s="114"/>
    </row>
    <row r="780">
      <c r="B780" s="87"/>
      <c r="C780" s="88"/>
      <c r="D780" s="88"/>
      <c r="E780" s="88"/>
      <c r="F780" s="88"/>
      <c r="G780" s="114"/>
    </row>
    <row r="781">
      <c r="B781" s="87"/>
      <c r="C781" s="88"/>
      <c r="D781" s="88"/>
      <c r="E781" s="88"/>
      <c r="F781" s="88"/>
      <c r="G781" s="114"/>
    </row>
    <row r="782">
      <c r="B782" s="87"/>
      <c r="C782" s="88"/>
      <c r="D782" s="88"/>
      <c r="E782" s="88"/>
      <c r="F782" s="88"/>
      <c r="G782" s="114"/>
    </row>
    <row r="783">
      <c r="B783" s="87"/>
      <c r="C783" s="88"/>
      <c r="D783" s="88"/>
      <c r="E783" s="88"/>
      <c r="F783" s="88"/>
      <c r="G783" s="114"/>
    </row>
    <row r="784">
      <c r="B784" s="87"/>
      <c r="C784" s="88"/>
      <c r="D784" s="88"/>
      <c r="E784" s="88"/>
      <c r="F784" s="88"/>
      <c r="G784" s="114"/>
    </row>
    <row r="785">
      <c r="B785" s="87"/>
      <c r="C785" s="88"/>
      <c r="D785" s="88"/>
      <c r="E785" s="88"/>
      <c r="F785" s="88"/>
      <c r="G785" s="114"/>
    </row>
    <row r="786">
      <c r="B786" s="87"/>
      <c r="C786" s="88"/>
      <c r="D786" s="88"/>
      <c r="E786" s="88"/>
      <c r="F786" s="88"/>
      <c r="G786" s="114"/>
    </row>
    <row r="787">
      <c r="B787" s="87"/>
      <c r="C787" s="88"/>
      <c r="D787" s="88"/>
      <c r="E787" s="88"/>
      <c r="F787" s="88"/>
      <c r="G787" s="114"/>
    </row>
    <row r="788">
      <c r="B788" s="87"/>
      <c r="C788" s="88"/>
      <c r="D788" s="88"/>
      <c r="E788" s="88"/>
      <c r="F788" s="88"/>
      <c r="G788" s="114"/>
    </row>
    <row r="789">
      <c r="B789" s="87"/>
      <c r="C789" s="88"/>
      <c r="D789" s="88"/>
      <c r="E789" s="88"/>
      <c r="F789" s="88"/>
      <c r="G789" s="114"/>
    </row>
    <row r="790">
      <c r="B790" s="87"/>
      <c r="C790" s="88"/>
      <c r="D790" s="88"/>
      <c r="E790" s="88"/>
      <c r="F790" s="88"/>
      <c r="G790" s="114"/>
    </row>
    <row r="791">
      <c r="B791" s="87"/>
      <c r="C791" s="88"/>
      <c r="D791" s="88"/>
      <c r="E791" s="88"/>
      <c r="F791" s="88"/>
      <c r="G791" s="114"/>
    </row>
    <row r="792">
      <c r="B792" s="87"/>
      <c r="C792" s="88"/>
      <c r="D792" s="88"/>
      <c r="E792" s="88"/>
      <c r="F792" s="88"/>
      <c r="G792" s="114"/>
    </row>
    <row r="793">
      <c r="B793" s="87"/>
      <c r="C793" s="88"/>
      <c r="D793" s="88"/>
      <c r="E793" s="88"/>
      <c r="F793" s="88"/>
      <c r="G793" s="114"/>
    </row>
    <row r="794">
      <c r="B794" s="87"/>
      <c r="C794" s="88"/>
      <c r="D794" s="88"/>
      <c r="E794" s="88"/>
      <c r="F794" s="88"/>
      <c r="G794" s="114"/>
    </row>
    <row r="795">
      <c r="B795" s="87"/>
      <c r="C795" s="88"/>
      <c r="D795" s="88"/>
      <c r="E795" s="88"/>
      <c r="F795" s="88"/>
      <c r="G795" s="114"/>
    </row>
    <row r="796">
      <c r="B796" s="87"/>
      <c r="C796" s="88"/>
      <c r="D796" s="88"/>
      <c r="E796" s="88"/>
      <c r="F796" s="88"/>
      <c r="G796" s="114"/>
    </row>
    <row r="797">
      <c r="B797" s="87"/>
      <c r="C797" s="88"/>
      <c r="D797" s="88"/>
      <c r="E797" s="88"/>
      <c r="F797" s="88"/>
      <c r="G797" s="114"/>
    </row>
    <row r="798">
      <c r="B798" s="87"/>
      <c r="C798" s="88"/>
      <c r="D798" s="88"/>
      <c r="E798" s="88"/>
      <c r="F798" s="88"/>
      <c r="G798" s="114"/>
    </row>
    <row r="799">
      <c r="B799" s="87"/>
      <c r="C799" s="88"/>
      <c r="D799" s="88"/>
      <c r="E799" s="88"/>
      <c r="F799" s="88"/>
      <c r="G799" s="114"/>
    </row>
    <row r="800">
      <c r="B800" s="87"/>
      <c r="C800" s="88"/>
      <c r="D800" s="88"/>
      <c r="E800" s="88"/>
      <c r="F800" s="88"/>
      <c r="G800" s="114"/>
    </row>
    <row r="801">
      <c r="B801" s="87"/>
      <c r="C801" s="88"/>
      <c r="D801" s="88"/>
      <c r="E801" s="88"/>
      <c r="F801" s="88"/>
      <c r="G801" s="114"/>
    </row>
    <row r="802">
      <c r="B802" s="87"/>
      <c r="C802" s="88"/>
      <c r="D802" s="88"/>
      <c r="E802" s="88"/>
      <c r="F802" s="88"/>
      <c r="G802" s="114"/>
    </row>
    <row r="803">
      <c r="B803" s="87"/>
      <c r="C803" s="88"/>
      <c r="D803" s="88"/>
      <c r="E803" s="88"/>
      <c r="F803" s="88"/>
      <c r="G803" s="114"/>
    </row>
    <row r="804">
      <c r="B804" s="87"/>
      <c r="C804" s="88"/>
      <c r="D804" s="88"/>
      <c r="E804" s="88"/>
      <c r="F804" s="88"/>
      <c r="G804" s="114"/>
    </row>
    <row r="805">
      <c r="B805" s="87"/>
      <c r="C805" s="88"/>
      <c r="D805" s="88"/>
      <c r="E805" s="88"/>
      <c r="F805" s="88"/>
      <c r="G805" s="114"/>
    </row>
    <row r="806">
      <c r="B806" s="87"/>
      <c r="C806" s="88"/>
      <c r="D806" s="88"/>
      <c r="E806" s="88"/>
      <c r="F806" s="88"/>
      <c r="G806" s="114"/>
    </row>
    <row r="807">
      <c r="B807" s="87"/>
      <c r="C807" s="88"/>
      <c r="D807" s="88"/>
      <c r="E807" s="88"/>
      <c r="F807" s="88"/>
      <c r="G807" s="114"/>
    </row>
    <row r="808">
      <c r="B808" s="87"/>
      <c r="C808" s="88"/>
      <c r="D808" s="88"/>
      <c r="E808" s="88"/>
      <c r="F808" s="88"/>
      <c r="G808" s="114"/>
    </row>
    <row r="809">
      <c r="B809" s="87"/>
      <c r="C809" s="88"/>
      <c r="D809" s="88"/>
      <c r="E809" s="88"/>
      <c r="F809" s="88"/>
      <c r="G809" s="114"/>
    </row>
    <row r="810">
      <c r="B810" s="87"/>
      <c r="C810" s="88"/>
      <c r="D810" s="88"/>
      <c r="E810" s="88"/>
      <c r="F810" s="88"/>
      <c r="G810" s="114"/>
    </row>
    <row r="811">
      <c r="B811" s="87"/>
      <c r="C811" s="88"/>
      <c r="D811" s="88"/>
      <c r="E811" s="88"/>
      <c r="F811" s="88"/>
      <c r="G811" s="114"/>
    </row>
    <row r="812">
      <c r="B812" s="87"/>
      <c r="C812" s="88"/>
      <c r="D812" s="88"/>
      <c r="E812" s="88"/>
      <c r="F812" s="88"/>
      <c r="G812" s="114"/>
    </row>
    <row r="813">
      <c r="B813" s="87"/>
      <c r="C813" s="88"/>
      <c r="D813" s="88"/>
      <c r="E813" s="88"/>
      <c r="F813" s="88"/>
      <c r="G813" s="114"/>
    </row>
    <row r="814">
      <c r="B814" s="87"/>
      <c r="C814" s="88"/>
      <c r="D814" s="88"/>
      <c r="E814" s="88"/>
      <c r="F814" s="88"/>
      <c r="G814" s="114"/>
    </row>
    <row r="815">
      <c r="B815" s="87"/>
      <c r="C815" s="88"/>
      <c r="D815" s="88"/>
      <c r="E815" s="88"/>
      <c r="F815" s="88"/>
      <c r="G815" s="114"/>
    </row>
    <row r="816">
      <c r="B816" s="87"/>
      <c r="C816" s="88"/>
      <c r="D816" s="88"/>
      <c r="E816" s="88"/>
      <c r="F816" s="88"/>
      <c r="G816" s="114"/>
    </row>
    <row r="817">
      <c r="B817" s="87"/>
      <c r="C817" s="88"/>
      <c r="D817" s="88"/>
      <c r="E817" s="88"/>
      <c r="F817" s="88"/>
      <c r="G817" s="114"/>
    </row>
    <row r="818">
      <c r="B818" s="87"/>
      <c r="C818" s="88"/>
      <c r="D818" s="88"/>
      <c r="E818" s="88"/>
      <c r="F818" s="88"/>
      <c r="G818" s="114"/>
    </row>
    <row r="819">
      <c r="B819" s="87"/>
      <c r="C819" s="88"/>
      <c r="D819" s="88"/>
      <c r="E819" s="88"/>
      <c r="F819" s="88"/>
      <c r="G819" s="114"/>
    </row>
    <row r="820">
      <c r="B820" s="87"/>
      <c r="C820" s="88"/>
      <c r="D820" s="88"/>
      <c r="E820" s="88"/>
      <c r="F820" s="88"/>
      <c r="G820" s="114"/>
    </row>
    <row r="821">
      <c r="B821" s="87"/>
      <c r="C821" s="88"/>
      <c r="D821" s="88"/>
      <c r="E821" s="88"/>
      <c r="F821" s="88"/>
      <c r="G821" s="114"/>
    </row>
    <row r="822">
      <c r="B822" s="87"/>
      <c r="C822" s="88"/>
      <c r="D822" s="88"/>
      <c r="E822" s="88"/>
      <c r="F822" s="88"/>
      <c r="G822" s="114"/>
    </row>
    <row r="823">
      <c r="B823" s="87"/>
      <c r="C823" s="88"/>
      <c r="D823" s="88"/>
      <c r="E823" s="88"/>
      <c r="F823" s="88"/>
      <c r="G823" s="114"/>
    </row>
    <row r="824">
      <c r="B824" s="87"/>
      <c r="C824" s="88"/>
      <c r="D824" s="88"/>
      <c r="E824" s="88"/>
      <c r="F824" s="88"/>
      <c r="G824" s="114"/>
    </row>
    <row r="825">
      <c r="B825" s="87"/>
      <c r="C825" s="88"/>
      <c r="D825" s="88"/>
      <c r="E825" s="88"/>
      <c r="F825" s="88"/>
      <c r="G825" s="114"/>
    </row>
    <row r="826">
      <c r="B826" s="87"/>
      <c r="C826" s="88"/>
      <c r="D826" s="88"/>
      <c r="E826" s="88"/>
      <c r="F826" s="88"/>
      <c r="G826" s="114"/>
    </row>
    <row r="827">
      <c r="B827" s="87"/>
      <c r="C827" s="88"/>
      <c r="D827" s="88"/>
      <c r="E827" s="88"/>
      <c r="F827" s="88"/>
      <c r="G827" s="114"/>
    </row>
    <row r="828">
      <c r="B828" s="87"/>
      <c r="C828" s="88"/>
      <c r="D828" s="88"/>
      <c r="E828" s="88"/>
      <c r="F828" s="88"/>
      <c r="G828" s="114"/>
    </row>
    <row r="829">
      <c r="B829" s="87"/>
      <c r="C829" s="88"/>
      <c r="D829" s="88"/>
      <c r="E829" s="88"/>
      <c r="F829" s="88"/>
      <c r="G829" s="114"/>
    </row>
    <row r="830">
      <c r="B830" s="87"/>
      <c r="C830" s="88"/>
      <c r="D830" s="88"/>
      <c r="E830" s="88"/>
      <c r="F830" s="88"/>
      <c r="G830" s="114"/>
    </row>
    <row r="831">
      <c r="B831" s="87"/>
      <c r="C831" s="88"/>
      <c r="D831" s="88"/>
      <c r="E831" s="88"/>
      <c r="F831" s="88"/>
      <c r="G831" s="114"/>
    </row>
    <row r="832">
      <c r="B832" s="87"/>
      <c r="C832" s="88"/>
      <c r="D832" s="88"/>
      <c r="E832" s="88"/>
      <c r="F832" s="88"/>
      <c r="G832" s="114"/>
    </row>
    <row r="833">
      <c r="B833" s="87"/>
      <c r="C833" s="88"/>
      <c r="D833" s="88"/>
      <c r="E833" s="88"/>
      <c r="F833" s="88"/>
      <c r="G833" s="114"/>
    </row>
    <row r="834">
      <c r="B834" s="87"/>
      <c r="C834" s="88"/>
      <c r="D834" s="88"/>
      <c r="E834" s="88"/>
      <c r="F834" s="88"/>
      <c r="G834" s="114"/>
    </row>
    <row r="835">
      <c r="B835" s="87"/>
      <c r="C835" s="88"/>
      <c r="D835" s="88"/>
      <c r="E835" s="88"/>
      <c r="F835" s="88"/>
      <c r="G835" s="114"/>
    </row>
    <row r="836">
      <c r="B836" s="87"/>
      <c r="C836" s="88"/>
      <c r="D836" s="88"/>
      <c r="E836" s="88"/>
      <c r="F836" s="88"/>
      <c r="G836" s="114"/>
    </row>
    <row r="837">
      <c r="B837" s="87"/>
      <c r="C837" s="88"/>
      <c r="D837" s="88"/>
      <c r="E837" s="88"/>
      <c r="F837" s="88"/>
      <c r="G837" s="114"/>
    </row>
    <row r="838">
      <c r="B838" s="87"/>
      <c r="C838" s="88"/>
      <c r="D838" s="88"/>
      <c r="E838" s="88"/>
      <c r="F838" s="88"/>
      <c r="G838" s="114"/>
    </row>
    <row r="839">
      <c r="B839" s="87"/>
      <c r="C839" s="88"/>
      <c r="D839" s="88"/>
      <c r="E839" s="88"/>
      <c r="F839" s="88"/>
      <c r="G839" s="114"/>
    </row>
    <row r="840">
      <c r="B840" s="87"/>
      <c r="C840" s="88"/>
      <c r="D840" s="88"/>
      <c r="E840" s="88"/>
      <c r="F840" s="88"/>
      <c r="G840" s="114"/>
    </row>
    <row r="841">
      <c r="B841" s="87"/>
      <c r="C841" s="88"/>
      <c r="D841" s="88"/>
      <c r="E841" s="88"/>
      <c r="F841" s="88"/>
      <c r="G841" s="114"/>
    </row>
    <row r="842">
      <c r="B842" s="87"/>
      <c r="C842" s="88"/>
      <c r="D842" s="88"/>
      <c r="E842" s="88"/>
      <c r="F842" s="88"/>
      <c r="G842" s="114"/>
    </row>
    <row r="843">
      <c r="B843" s="87"/>
      <c r="C843" s="88"/>
      <c r="D843" s="88"/>
      <c r="E843" s="88"/>
      <c r="F843" s="88"/>
      <c r="G843" s="114"/>
    </row>
    <row r="844">
      <c r="B844" s="87"/>
      <c r="C844" s="88"/>
      <c r="D844" s="88"/>
      <c r="E844" s="88"/>
      <c r="F844" s="88"/>
      <c r="G844" s="114"/>
    </row>
    <row r="845">
      <c r="B845" s="87"/>
      <c r="C845" s="88"/>
      <c r="D845" s="88"/>
      <c r="E845" s="88"/>
      <c r="F845" s="88"/>
      <c r="G845" s="114"/>
    </row>
    <row r="846">
      <c r="B846" s="87"/>
      <c r="C846" s="88"/>
      <c r="D846" s="88"/>
      <c r="E846" s="88"/>
      <c r="F846" s="88"/>
      <c r="G846" s="114"/>
    </row>
    <row r="847">
      <c r="B847" s="87"/>
      <c r="C847" s="88"/>
      <c r="D847" s="88"/>
      <c r="E847" s="88"/>
      <c r="F847" s="88"/>
      <c r="G847" s="114"/>
    </row>
    <row r="848">
      <c r="B848" s="87"/>
      <c r="C848" s="88"/>
      <c r="D848" s="88"/>
      <c r="E848" s="88"/>
      <c r="F848" s="88"/>
      <c r="G848" s="114"/>
    </row>
    <row r="849">
      <c r="B849" s="87"/>
      <c r="C849" s="88"/>
      <c r="D849" s="88"/>
      <c r="E849" s="88"/>
      <c r="F849" s="88"/>
      <c r="G849" s="114"/>
    </row>
    <row r="850">
      <c r="B850" s="87"/>
      <c r="C850" s="88"/>
      <c r="D850" s="88"/>
      <c r="E850" s="88"/>
      <c r="F850" s="88"/>
      <c r="G850" s="114"/>
    </row>
    <row r="851">
      <c r="B851" s="87"/>
      <c r="C851" s="88"/>
      <c r="D851" s="88"/>
      <c r="E851" s="88"/>
      <c r="F851" s="88"/>
      <c r="G851" s="114"/>
    </row>
    <row r="852">
      <c r="B852" s="87"/>
      <c r="C852" s="88"/>
      <c r="D852" s="88"/>
      <c r="E852" s="88"/>
      <c r="F852" s="88"/>
      <c r="G852" s="114"/>
    </row>
    <row r="853">
      <c r="B853" s="87"/>
      <c r="C853" s="88"/>
      <c r="D853" s="88"/>
      <c r="E853" s="88"/>
      <c r="F853" s="88"/>
      <c r="G853" s="114"/>
    </row>
    <row r="854">
      <c r="B854" s="87"/>
      <c r="C854" s="88"/>
      <c r="D854" s="88"/>
      <c r="E854" s="88"/>
      <c r="F854" s="88"/>
      <c r="G854" s="114"/>
    </row>
    <row r="855">
      <c r="B855" s="87"/>
      <c r="C855" s="88"/>
      <c r="D855" s="88"/>
      <c r="E855" s="88"/>
      <c r="F855" s="88"/>
      <c r="G855" s="114"/>
    </row>
    <row r="856">
      <c r="B856" s="87"/>
      <c r="C856" s="88"/>
      <c r="D856" s="88"/>
      <c r="E856" s="88"/>
      <c r="F856" s="88"/>
      <c r="G856" s="114"/>
    </row>
    <row r="857">
      <c r="B857" s="87"/>
      <c r="C857" s="88"/>
      <c r="D857" s="88"/>
      <c r="E857" s="88"/>
      <c r="F857" s="88"/>
      <c r="G857" s="114"/>
    </row>
    <row r="858">
      <c r="B858" s="87"/>
      <c r="C858" s="88"/>
      <c r="D858" s="88"/>
      <c r="E858" s="88"/>
      <c r="F858" s="88"/>
      <c r="G858" s="114"/>
    </row>
    <row r="859">
      <c r="B859" s="87"/>
      <c r="C859" s="88"/>
      <c r="D859" s="88"/>
      <c r="E859" s="88"/>
      <c r="F859" s="88"/>
      <c r="G859" s="114"/>
    </row>
    <row r="860">
      <c r="B860" s="87"/>
      <c r="C860" s="88"/>
      <c r="D860" s="88"/>
      <c r="E860" s="88"/>
      <c r="F860" s="88"/>
      <c r="G860" s="114"/>
    </row>
    <row r="861">
      <c r="B861" s="87"/>
      <c r="C861" s="88"/>
      <c r="D861" s="88"/>
      <c r="E861" s="88"/>
      <c r="F861" s="88"/>
      <c r="G861" s="114"/>
    </row>
    <row r="862">
      <c r="B862" s="87"/>
      <c r="C862" s="88"/>
      <c r="D862" s="88"/>
      <c r="E862" s="88"/>
      <c r="F862" s="88"/>
      <c r="G862" s="114"/>
    </row>
    <row r="863">
      <c r="B863" s="87"/>
      <c r="C863" s="88"/>
      <c r="D863" s="88"/>
      <c r="E863" s="88"/>
      <c r="F863" s="88"/>
      <c r="G863" s="114"/>
    </row>
    <row r="864">
      <c r="B864" s="87"/>
      <c r="C864" s="88"/>
      <c r="D864" s="88"/>
      <c r="E864" s="88"/>
      <c r="F864" s="88"/>
      <c r="G864" s="114"/>
    </row>
    <row r="865">
      <c r="B865" s="87"/>
      <c r="C865" s="88"/>
      <c r="D865" s="88"/>
      <c r="E865" s="88"/>
      <c r="F865" s="88"/>
      <c r="G865" s="114"/>
    </row>
    <row r="866">
      <c r="B866" s="87"/>
      <c r="C866" s="88"/>
      <c r="D866" s="88"/>
      <c r="E866" s="88"/>
      <c r="F866" s="88"/>
      <c r="G866" s="114"/>
    </row>
    <row r="867">
      <c r="B867" s="87"/>
      <c r="C867" s="88"/>
      <c r="D867" s="88"/>
      <c r="E867" s="88"/>
      <c r="F867" s="88"/>
      <c r="G867" s="114"/>
    </row>
    <row r="868">
      <c r="B868" s="87"/>
      <c r="C868" s="88"/>
      <c r="D868" s="88"/>
      <c r="E868" s="88"/>
      <c r="F868" s="88"/>
      <c r="G868" s="114"/>
    </row>
    <row r="869">
      <c r="B869" s="87"/>
      <c r="C869" s="88"/>
      <c r="D869" s="88"/>
      <c r="E869" s="88"/>
      <c r="F869" s="88"/>
      <c r="G869" s="114"/>
    </row>
    <row r="870">
      <c r="B870" s="87"/>
      <c r="C870" s="88"/>
      <c r="D870" s="88"/>
      <c r="E870" s="88"/>
      <c r="F870" s="88"/>
      <c r="G870" s="114"/>
    </row>
    <row r="871">
      <c r="B871" s="87"/>
      <c r="C871" s="88"/>
      <c r="D871" s="88"/>
      <c r="E871" s="88"/>
      <c r="F871" s="88"/>
      <c r="G871" s="114"/>
    </row>
    <row r="872">
      <c r="B872" s="87"/>
      <c r="C872" s="88"/>
      <c r="D872" s="88"/>
      <c r="E872" s="88"/>
      <c r="F872" s="88"/>
      <c r="G872" s="114"/>
    </row>
    <row r="873">
      <c r="B873" s="87"/>
      <c r="C873" s="88"/>
      <c r="D873" s="88"/>
      <c r="E873" s="88"/>
      <c r="F873" s="88"/>
      <c r="G873" s="114"/>
    </row>
    <row r="874">
      <c r="B874" s="87"/>
      <c r="C874" s="88"/>
      <c r="D874" s="88"/>
      <c r="E874" s="88"/>
      <c r="F874" s="88"/>
      <c r="G874" s="114"/>
    </row>
    <row r="875">
      <c r="B875" s="87"/>
      <c r="C875" s="88"/>
      <c r="D875" s="88"/>
      <c r="E875" s="88"/>
      <c r="F875" s="88"/>
      <c r="G875" s="114"/>
    </row>
    <row r="876">
      <c r="B876" s="87"/>
      <c r="C876" s="88"/>
      <c r="D876" s="88"/>
      <c r="E876" s="88"/>
      <c r="F876" s="88"/>
      <c r="G876" s="114"/>
    </row>
    <row r="877">
      <c r="B877" s="87"/>
      <c r="C877" s="88"/>
      <c r="D877" s="88"/>
      <c r="E877" s="88"/>
      <c r="F877" s="88"/>
      <c r="G877" s="114"/>
    </row>
    <row r="878">
      <c r="B878" s="87"/>
      <c r="C878" s="88"/>
      <c r="D878" s="88"/>
      <c r="E878" s="88"/>
      <c r="F878" s="88"/>
      <c r="G878" s="114"/>
    </row>
    <row r="879">
      <c r="B879" s="87"/>
      <c r="C879" s="88"/>
      <c r="D879" s="88"/>
      <c r="E879" s="88"/>
      <c r="F879" s="88"/>
      <c r="G879" s="114"/>
    </row>
    <row r="880">
      <c r="B880" s="87"/>
      <c r="C880" s="88"/>
      <c r="D880" s="88"/>
      <c r="E880" s="88"/>
      <c r="F880" s="88"/>
      <c r="G880" s="114"/>
    </row>
    <row r="881">
      <c r="B881" s="87"/>
      <c r="C881" s="88"/>
      <c r="D881" s="88"/>
      <c r="E881" s="88"/>
      <c r="F881" s="88"/>
      <c r="G881" s="114"/>
    </row>
    <row r="882">
      <c r="B882" s="87"/>
      <c r="C882" s="88"/>
      <c r="D882" s="88"/>
      <c r="E882" s="88"/>
      <c r="F882" s="88"/>
      <c r="G882" s="114"/>
    </row>
    <row r="883">
      <c r="B883" s="87"/>
      <c r="C883" s="88"/>
      <c r="D883" s="88"/>
      <c r="E883" s="88"/>
      <c r="F883" s="88"/>
      <c r="G883" s="114"/>
    </row>
    <row r="884">
      <c r="B884" s="87"/>
      <c r="C884" s="88"/>
      <c r="D884" s="88"/>
      <c r="E884" s="88"/>
      <c r="F884" s="88"/>
      <c r="G884" s="114"/>
    </row>
    <row r="885">
      <c r="B885" s="87"/>
      <c r="C885" s="88"/>
      <c r="D885" s="88"/>
      <c r="E885" s="88"/>
      <c r="F885" s="88"/>
      <c r="G885" s="114"/>
    </row>
    <row r="886">
      <c r="B886" s="87"/>
      <c r="C886" s="88"/>
      <c r="D886" s="88"/>
      <c r="E886" s="88"/>
      <c r="F886" s="88"/>
      <c r="G886" s="114"/>
    </row>
    <row r="887">
      <c r="B887" s="87"/>
      <c r="C887" s="88"/>
      <c r="D887" s="88"/>
      <c r="E887" s="88"/>
      <c r="F887" s="88"/>
      <c r="G887" s="114"/>
    </row>
    <row r="888">
      <c r="B888" s="87"/>
      <c r="C888" s="88"/>
      <c r="D888" s="88"/>
      <c r="E888" s="88"/>
      <c r="F888" s="88"/>
      <c r="G888" s="114"/>
    </row>
    <row r="889">
      <c r="B889" s="87"/>
      <c r="C889" s="88"/>
      <c r="D889" s="88"/>
      <c r="E889" s="88"/>
      <c r="F889" s="88"/>
      <c r="G889" s="114"/>
    </row>
    <row r="890">
      <c r="B890" s="87"/>
      <c r="C890" s="88"/>
      <c r="D890" s="88"/>
      <c r="E890" s="88"/>
      <c r="F890" s="88"/>
      <c r="G890" s="114"/>
    </row>
    <row r="891">
      <c r="B891" s="87"/>
      <c r="C891" s="88"/>
      <c r="D891" s="88"/>
      <c r="E891" s="88"/>
      <c r="F891" s="88"/>
      <c r="G891" s="114"/>
    </row>
    <row r="892">
      <c r="B892" s="87"/>
      <c r="C892" s="88"/>
      <c r="D892" s="88"/>
      <c r="E892" s="88"/>
      <c r="F892" s="88"/>
      <c r="G892" s="114"/>
    </row>
    <row r="893">
      <c r="B893" s="87"/>
      <c r="C893" s="88"/>
      <c r="D893" s="88"/>
      <c r="E893" s="88"/>
      <c r="F893" s="88"/>
      <c r="G893" s="114"/>
    </row>
    <row r="894">
      <c r="B894" s="87"/>
      <c r="C894" s="88"/>
      <c r="D894" s="88"/>
      <c r="E894" s="88"/>
      <c r="F894" s="88"/>
      <c r="G894" s="114"/>
    </row>
    <row r="895">
      <c r="B895" s="87"/>
      <c r="C895" s="88"/>
      <c r="D895" s="88"/>
      <c r="E895" s="88"/>
      <c r="F895" s="88"/>
      <c r="G895" s="114"/>
    </row>
    <row r="896">
      <c r="B896" s="87"/>
      <c r="C896" s="88"/>
      <c r="D896" s="88"/>
      <c r="E896" s="88"/>
      <c r="F896" s="88"/>
      <c r="G896" s="114"/>
    </row>
    <row r="897">
      <c r="B897" s="87"/>
      <c r="C897" s="88"/>
      <c r="D897" s="88"/>
      <c r="E897" s="88"/>
      <c r="F897" s="88"/>
      <c r="G897" s="114"/>
    </row>
    <row r="898">
      <c r="B898" s="87"/>
      <c r="C898" s="88"/>
      <c r="D898" s="88"/>
      <c r="E898" s="88"/>
      <c r="F898" s="88"/>
      <c r="G898" s="114"/>
    </row>
    <row r="899">
      <c r="B899" s="87"/>
      <c r="C899" s="88"/>
      <c r="D899" s="88"/>
      <c r="E899" s="88"/>
      <c r="F899" s="88"/>
      <c r="G899" s="114"/>
    </row>
    <row r="900">
      <c r="B900" s="87"/>
      <c r="C900" s="88"/>
      <c r="D900" s="88"/>
      <c r="E900" s="88"/>
      <c r="F900" s="88"/>
      <c r="G900" s="114"/>
    </row>
    <row r="901">
      <c r="B901" s="87"/>
      <c r="C901" s="88"/>
      <c r="D901" s="88"/>
      <c r="E901" s="88"/>
      <c r="F901" s="88"/>
      <c r="G901" s="114"/>
    </row>
    <row r="902">
      <c r="B902" s="87"/>
      <c r="C902" s="88"/>
      <c r="D902" s="88"/>
      <c r="E902" s="88"/>
      <c r="F902" s="88"/>
      <c r="G902" s="114"/>
    </row>
    <row r="903">
      <c r="B903" s="87"/>
      <c r="C903" s="88"/>
      <c r="D903" s="88"/>
      <c r="E903" s="88"/>
      <c r="F903" s="88"/>
      <c r="G903" s="114"/>
    </row>
    <row r="904">
      <c r="B904" s="87"/>
      <c r="C904" s="88"/>
      <c r="D904" s="88"/>
      <c r="E904" s="88"/>
      <c r="F904" s="88"/>
      <c r="G904" s="114"/>
    </row>
    <row r="905">
      <c r="B905" s="87"/>
      <c r="C905" s="88"/>
      <c r="D905" s="88"/>
      <c r="E905" s="88"/>
      <c r="F905" s="88"/>
      <c r="G905" s="114"/>
    </row>
    <row r="906">
      <c r="B906" s="87"/>
      <c r="C906" s="88"/>
      <c r="D906" s="88"/>
      <c r="E906" s="88"/>
      <c r="F906" s="88"/>
      <c r="G906" s="114"/>
    </row>
    <row r="907">
      <c r="B907" s="87"/>
      <c r="C907" s="88"/>
      <c r="D907" s="88"/>
      <c r="E907" s="88"/>
      <c r="F907" s="88"/>
      <c r="G907" s="114"/>
    </row>
    <row r="908">
      <c r="B908" s="87"/>
      <c r="C908" s="88"/>
      <c r="D908" s="88"/>
      <c r="E908" s="88"/>
      <c r="F908" s="88"/>
      <c r="G908" s="114"/>
    </row>
    <row r="909">
      <c r="B909" s="87"/>
      <c r="C909" s="88"/>
      <c r="D909" s="88"/>
      <c r="E909" s="88"/>
      <c r="F909" s="88"/>
      <c r="G909" s="114"/>
    </row>
    <row r="910">
      <c r="B910" s="87"/>
      <c r="C910" s="88"/>
      <c r="D910" s="88"/>
      <c r="E910" s="88"/>
      <c r="F910" s="88"/>
      <c r="G910" s="114"/>
    </row>
    <row r="911">
      <c r="B911" s="87"/>
      <c r="C911" s="88"/>
      <c r="D911" s="88"/>
      <c r="E911" s="88"/>
      <c r="F911" s="88"/>
      <c r="G911" s="114"/>
    </row>
    <row r="912">
      <c r="B912" s="87"/>
      <c r="C912" s="88"/>
      <c r="D912" s="88"/>
      <c r="E912" s="88"/>
      <c r="F912" s="88"/>
      <c r="G912" s="114"/>
    </row>
    <row r="913">
      <c r="B913" s="87"/>
      <c r="C913" s="88"/>
      <c r="D913" s="88"/>
      <c r="E913" s="88"/>
      <c r="F913" s="88"/>
      <c r="G913" s="114"/>
    </row>
    <row r="914">
      <c r="B914" s="87"/>
      <c r="C914" s="88"/>
      <c r="D914" s="88"/>
      <c r="E914" s="88"/>
      <c r="F914" s="88"/>
      <c r="G914" s="114"/>
    </row>
    <row r="915">
      <c r="B915" s="87"/>
      <c r="C915" s="88"/>
      <c r="D915" s="88"/>
      <c r="E915" s="88"/>
      <c r="F915" s="88"/>
      <c r="G915" s="114"/>
    </row>
    <row r="916">
      <c r="B916" s="87"/>
      <c r="C916" s="88"/>
      <c r="D916" s="88"/>
      <c r="E916" s="88"/>
      <c r="F916" s="88"/>
      <c r="G916" s="114"/>
    </row>
    <row r="917">
      <c r="B917" s="87"/>
      <c r="C917" s="88"/>
      <c r="D917" s="88"/>
      <c r="E917" s="88"/>
      <c r="F917" s="88"/>
      <c r="G917" s="114"/>
    </row>
    <row r="918">
      <c r="B918" s="87"/>
      <c r="C918" s="88"/>
      <c r="D918" s="88"/>
      <c r="E918" s="88"/>
      <c r="F918" s="88"/>
      <c r="G918" s="114"/>
    </row>
    <row r="919">
      <c r="B919" s="87"/>
      <c r="C919" s="88"/>
      <c r="D919" s="88"/>
      <c r="E919" s="88"/>
      <c r="F919" s="88"/>
      <c r="G919" s="114"/>
    </row>
    <row r="920">
      <c r="B920" s="87"/>
      <c r="C920" s="88"/>
      <c r="D920" s="88"/>
      <c r="E920" s="88"/>
      <c r="F920" s="88"/>
      <c r="G920" s="114"/>
    </row>
    <row r="921">
      <c r="B921" s="87"/>
      <c r="C921" s="88"/>
      <c r="D921" s="88"/>
      <c r="E921" s="88"/>
      <c r="F921" s="88"/>
      <c r="G921" s="114"/>
    </row>
    <row r="922">
      <c r="B922" s="87"/>
      <c r="C922" s="88"/>
      <c r="D922" s="88"/>
      <c r="E922" s="88"/>
      <c r="F922" s="88"/>
      <c r="G922" s="114"/>
    </row>
    <row r="923">
      <c r="B923" s="87"/>
      <c r="C923" s="88"/>
      <c r="D923" s="88"/>
      <c r="E923" s="88"/>
      <c r="F923" s="88"/>
      <c r="G923" s="114"/>
    </row>
    <row r="924">
      <c r="B924" s="87"/>
      <c r="C924" s="88"/>
      <c r="D924" s="88"/>
      <c r="E924" s="88"/>
      <c r="F924" s="88"/>
      <c r="G924" s="114"/>
    </row>
    <row r="925">
      <c r="B925" s="87"/>
      <c r="C925" s="88"/>
      <c r="D925" s="88"/>
      <c r="E925" s="88"/>
      <c r="F925" s="88"/>
      <c r="G925" s="114"/>
    </row>
    <row r="926">
      <c r="B926" s="87"/>
      <c r="C926" s="88"/>
      <c r="D926" s="88"/>
      <c r="E926" s="88"/>
      <c r="F926" s="88"/>
      <c r="G926" s="114"/>
    </row>
    <row r="927">
      <c r="B927" s="87"/>
      <c r="C927" s="88"/>
      <c r="D927" s="88"/>
      <c r="E927" s="88"/>
      <c r="F927" s="88"/>
      <c r="G927" s="114"/>
    </row>
    <row r="928">
      <c r="B928" s="87"/>
      <c r="C928" s="88"/>
      <c r="D928" s="88"/>
      <c r="E928" s="88"/>
      <c r="F928" s="88"/>
      <c r="G928" s="114"/>
    </row>
    <row r="929">
      <c r="B929" s="87"/>
      <c r="C929" s="88"/>
      <c r="D929" s="88"/>
      <c r="E929" s="88"/>
      <c r="F929" s="88"/>
      <c r="G929" s="114"/>
    </row>
    <row r="930">
      <c r="B930" s="87"/>
      <c r="C930" s="88"/>
      <c r="D930" s="88"/>
      <c r="E930" s="88"/>
      <c r="F930" s="88"/>
      <c r="G930" s="114"/>
    </row>
    <row r="931">
      <c r="B931" s="87"/>
      <c r="C931" s="88"/>
      <c r="D931" s="88"/>
      <c r="E931" s="88"/>
      <c r="F931" s="88"/>
      <c r="G931" s="114"/>
    </row>
    <row r="932">
      <c r="B932" s="87"/>
      <c r="C932" s="88"/>
      <c r="D932" s="88"/>
      <c r="E932" s="88"/>
      <c r="F932" s="88"/>
      <c r="G932" s="114"/>
    </row>
    <row r="933">
      <c r="B933" s="87"/>
      <c r="C933" s="88"/>
      <c r="D933" s="88"/>
      <c r="E933" s="88"/>
      <c r="F933" s="88"/>
      <c r="G933" s="114"/>
    </row>
    <row r="934">
      <c r="B934" s="87"/>
      <c r="C934" s="88"/>
      <c r="D934" s="88"/>
      <c r="E934" s="88"/>
      <c r="F934" s="88"/>
      <c r="G934" s="114"/>
    </row>
    <row r="935">
      <c r="B935" s="87"/>
      <c r="C935" s="88"/>
      <c r="D935" s="88"/>
      <c r="E935" s="88"/>
      <c r="F935" s="88"/>
      <c r="G935" s="114"/>
    </row>
    <row r="936">
      <c r="B936" s="87"/>
      <c r="C936" s="88"/>
      <c r="D936" s="88"/>
      <c r="E936" s="88"/>
      <c r="F936" s="88"/>
      <c r="G936" s="114"/>
    </row>
    <row r="937">
      <c r="B937" s="87"/>
      <c r="C937" s="88"/>
      <c r="D937" s="88"/>
      <c r="E937" s="88"/>
      <c r="F937" s="88"/>
      <c r="G937" s="114"/>
    </row>
    <row r="938">
      <c r="B938" s="87"/>
      <c r="C938" s="88"/>
      <c r="D938" s="88"/>
      <c r="E938" s="88"/>
      <c r="F938" s="88"/>
      <c r="G938" s="114"/>
    </row>
    <row r="939">
      <c r="B939" s="87"/>
      <c r="C939" s="88"/>
      <c r="D939" s="88"/>
      <c r="E939" s="88"/>
      <c r="F939" s="88"/>
      <c r="G939" s="114"/>
    </row>
    <row r="940">
      <c r="B940" s="87"/>
      <c r="C940" s="88"/>
      <c r="D940" s="88"/>
      <c r="E940" s="88"/>
      <c r="F940" s="88"/>
      <c r="G940" s="114"/>
    </row>
    <row r="941">
      <c r="B941" s="87"/>
      <c r="C941" s="88"/>
      <c r="D941" s="88"/>
      <c r="E941" s="88"/>
      <c r="F941" s="88"/>
      <c r="G941" s="114"/>
    </row>
    <row r="942">
      <c r="B942" s="87"/>
      <c r="C942" s="88"/>
      <c r="D942" s="88"/>
      <c r="E942" s="88"/>
      <c r="F942" s="88"/>
      <c r="G942" s="114"/>
    </row>
    <row r="943">
      <c r="B943" s="87"/>
      <c r="C943" s="88"/>
      <c r="D943" s="88"/>
      <c r="E943" s="88"/>
      <c r="F943" s="88"/>
      <c r="G943" s="114"/>
    </row>
    <row r="944">
      <c r="B944" s="87"/>
      <c r="C944" s="88"/>
      <c r="D944" s="88"/>
      <c r="E944" s="88"/>
      <c r="F944" s="88"/>
      <c r="G944" s="114"/>
    </row>
    <row r="945">
      <c r="B945" s="87"/>
      <c r="C945" s="88"/>
      <c r="D945" s="88"/>
      <c r="E945" s="88"/>
      <c r="F945" s="88"/>
      <c r="G945" s="114"/>
    </row>
    <row r="946">
      <c r="B946" s="87"/>
      <c r="C946" s="88"/>
      <c r="D946" s="88"/>
      <c r="E946" s="88"/>
      <c r="F946" s="88"/>
      <c r="G946" s="114"/>
    </row>
    <row r="947">
      <c r="B947" s="87"/>
      <c r="C947" s="88"/>
      <c r="D947" s="88"/>
      <c r="E947" s="88"/>
      <c r="F947" s="88"/>
      <c r="G947" s="114"/>
    </row>
    <row r="948">
      <c r="B948" s="87"/>
      <c r="C948" s="88"/>
      <c r="D948" s="88"/>
      <c r="E948" s="88"/>
      <c r="F948" s="88"/>
      <c r="G948" s="114"/>
    </row>
    <row r="949">
      <c r="B949" s="87"/>
      <c r="C949" s="88"/>
      <c r="D949" s="88"/>
      <c r="E949" s="88"/>
      <c r="F949" s="88"/>
      <c r="G949" s="114"/>
    </row>
    <row r="950">
      <c r="B950" s="87"/>
      <c r="C950" s="88"/>
      <c r="D950" s="88"/>
      <c r="E950" s="88"/>
      <c r="F950" s="88"/>
      <c r="G950" s="114"/>
    </row>
    <row r="951">
      <c r="B951" s="87"/>
      <c r="C951" s="88"/>
      <c r="D951" s="88"/>
      <c r="E951" s="88"/>
      <c r="F951" s="88"/>
      <c r="G951" s="114"/>
    </row>
    <row r="952">
      <c r="B952" s="87"/>
      <c r="C952" s="88"/>
      <c r="D952" s="88"/>
      <c r="E952" s="88"/>
      <c r="F952" s="88"/>
      <c r="G952" s="114"/>
    </row>
    <row r="953">
      <c r="B953" s="87"/>
      <c r="C953" s="88"/>
      <c r="D953" s="88"/>
      <c r="E953" s="88"/>
      <c r="F953" s="88"/>
      <c r="G953" s="114"/>
    </row>
    <row r="954">
      <c r="B954" s="87"/>
      <c r="C954" s="88"/>
      <c r="D954" s="88"/>
      <c r="E954" s="88"/>
      <c r="F954" s="88"/>
      <c r="G954" s="114"/>
    </row>
    <row r="955">
      <c r="B955" s="87"/>
      <c r="C955" s="88"/>
      <c r="D955" s="88"/>
      <c r="E955" s="88"/>
      <c r="F955" s="88"/>
      <c r="G955" s="114"/>
    </row>
    <row r="956">
      <c r="B956" s="87"/>
      <c r="C956" s="88"/>
      <c r="D956" s="88"/>
      <c r="E956" s="88"/>
      <c r="F956" s="88"/>
      <c r="G956" s="114"/>
    </row>
    <row r="957">
      <c r="B957" s="87"/>
      <c r="C957" s="88"/>
      <c r="D957" s="88"/>
      <c r="E957" s="88"/>
      <c r="F957" s="88"/>
      <c r="G957" s="114"/>
    </row>
    <row r="958">
      <c r="B958" s="87"/>
      <c r="C958" s="88"/>
      <c r="D958" s="88"/>
      <c r="E958" s="88"/>
      <c r="F958" s="88"/>
      <c r="G958" s="114"/>
    </row>
    <row r="959">
      <c r="B959" s="87"/>
      <c r="C959" s="88"/>
      <c r="D959" s="88"/>
      <c r="E959" s="88"/>
      <c r="F959" s="88"/>
      <c r="G959" s="114"/>
    </row>
    <row r="960">
      <c r="B960" s="87"/>
      <c r="C960" s="88"/>
      <c r="D960" s="88"/>
      <c r="E960" s="88"/>
      <c r="F960" s="88"/>
      <c r="G960" s="114"/>
    </row>
    <row r="961">
      <c r="B961" s="87"/>
      <c r="C961" s="88"/>
      <c r="D961" s="88"/>
      <c r="E961" s="88"/>
      <c r="F961" s="88"/>
      <c r="G961" s="114"/>
    </row>
    <row r="962">
      <c r="B962" s="87"/>
      <c r="C962" s="88"/>
      <c r="D962" s="88"/>
      <c r="E962" s="88"/>
      <c r="F962" s="88"/>
      <c r="G962" s="114"/>
    </row>
    <row r="963">
      <c r="B963" s="87"/>
      <c r="C963" s="88"/>
      <c r="D963" s="88"/>
      <c r="E963" s="88"/>
      <c r="F963" s="88"/>
      <c r="G963" s="114"/>
    </row>
    <row r="964">
      <c r="B964" s="87"/>
      <c r="C964" s="88"/>
      <c r="D964" s="88"/>
      <c r="E964" s="88"/>
      <c r="F964" s="88"/>
      <c r="G964" s="114"/>
    </row>
    <row r="965">
      <c r="B965" s="87"/>
      <c r="C965" s="88"/>
      <c r="D965" s="88"/>
      <c r="E965" s="88"/>
      <c r="F965" s="88"/>
      <c r="G965" s="114"/>
    </row>
    <row r="966">
      <c r="B966" s="87"/>
      <c r="C966" s="88"/>
      <c r="D966" s="88"/>
      <c r="E966" s="88"/>
      <c r="F966" s="88"/>
      <c r="G966" s="114"/>
    </row>
    <row r="967">
      <c r="B967" s="87"/>
      <c r="C967" s="88"/>
      <c r="D967" s="88"/>
      <c r="E967" s="88"/>
      <c r="F967" s="88"/>
      <c r="G967" s="114"/>
    </row>
    <row r="968">
      <c r="B968" s="87"/>
      <c r="C968" s="88"/>
      <c r="D968" s="88"/>
      <c r="E968" s="88"/>
      <c r="F968" s="88"/>
      <c r="G968" s="114"/>
    </row>
    <row r="969">
      <c r="B969" s="87"/>
      <c r="C969" s="88"/>
      <c r="D969" s="88"/>
      <c r="E969" s="88"/>
      <c r="F969" s="88"/>
      <c r="G969" s="114"/>
    </row>
    <row r="970">
      <c r="B970" s="87"/>
      <c r="C970" s="88"/>
      <c r="D970" s="88"/>
      <c r="E970" s="88"/>
      <c r="F970" s="88"/>
      <c r="G970" s="114"/>
    </row>
    <row r="971">
      <c r="B971" s="87"/>
      <c r="C971" s="88"/>
      <c r="D971" s="88"/>
      <c r="E971" s="88"/>
      <c r="F971" s="88"/>
      <c r="G971" s="114"/>
    </row>
    <row r="972">
      <c r="B972" s="87"/>
      <c r="C972" s="88"/>
      <c r="D972" s="88"/>
      <c r="E972" s="88"/>
      <c r="F972" s="88"/>
      <c r="G972" s="114"/>
    </row>
    <row r="973">
      <c r="B973" s="87"/>
      <c r="C973" s="88"/>
      <c r="D973" s="88"/>
      <c r="E973" s="88"/>
      <c r="F973" s="88"/>
      <c r="G973" s="114"/>
    </row>
    <row r="974">
      <c r="B974" s="87"/>
      <c r="C974" s="88"/>
      <c r="D974" s="88"/>
      <c r="E974" s="88"/>
      <c r="F974" s="88"/>
      <c r="G974" s="114"/>
    </row>
    <row r="975">
      <c r="B975" s="87"/>
      <c r="C975" s="88"/>
      <c r="D975" s="88"/>
      <c r="E975" s="88"/>
      <c r="F975" s="88"/>
      <c r="G975" s="114"/>
    </row>
    <row r="976">
      <c r="B976" s="87"/>
      <c r="C976" s="88"/>
      <c r="D976" s="88"/>
      <c r="E976" s="88"/>
      <c r="F976" s="88"/>
      <c r="G976" s="114"/>
    </row>
    <row r="977">
      <c r="B977" s="87"/>
      <c r="C977" s="88"/>
      <c r="D977" s="88"/>
      <c r="E977" s="88"/>
      <c r="F977" s="88"/>
      <c r="G977" s="114"/>
    </row>
    <row r="978">
      <c r="B978" s="87"/>
      <c r="C978" s="88"/>
      <c r="D978" s="88"/>
      <c r="E978" s="88"/>
      <c r="F978" s="88"/>
      <c r="G978" s="114"/>
    </row>
    <row r="979">
      <c r="B979" s="87"/>
      <c r="C979" s="88"/>
      <c r="D979" s="88"/>
      <c r="E979" s="88"/>
      <c r="F979" s="88"/>
      <c r="G979" s="114"/>
    </row>
    <row r="980">
      <c r="B980" s="87"/>
      <c r="C980" s="88"/>
      <c r="D980" s="88"/>
      <c r="E980" s="88"/>
      <c r="F980" s="88"/>
      <c r="G980" s="114"/>
    </row>
    <row r="981">
      <c r="B981" s="87"/>
      <c r="C981" s="88"/>
      <c r="D981" s="88"/>
      <c r="E981" s="88"/>
      <c r="F981" s="88"/>
      <c r="G981" s="114"/>
    </row>
    <row r="982">
      <c r="B982" s="87"/>
      <c r="C982" s="88"/>
      <c r="D982" s="88"/>
      <c r="E982" s="88"/>
      <c r="F982" s="88"/>
      <c r="G982" s="114"/>
    </row>
    <row r="983">
      <c r="B983" s="87"/>
      <c r="C983" s="88"/>
      <c r="D983" s="88"/>
      <c r="E983" s="88"/>
      <c r="F983" s="88"/>
      <c r="G983" s="114"/>
    </row>
    <row r="984">
      <c r="B984" s="87"/>
      <c r="C984" s="88"/>
      <c r="D984" s="88"/>
      <c r="E984" s="88"/>
      <c r="F984" s="88"/>
      <c r="G984" s="114"/>
    </row>
    <row r="985">
      <c r="B985" s="87"/>
      <c r="C985" s="88"/>
      <c r="D985" s="88"/>
      <c r="E985" s="88"/>
      <c r="F985" s="88"/>
      <c r="G985" s="114"/>
    </row>
    <row r="986">
      <c r="B986" s="87"/>
      <c r="C986" s="88"/>
      <c r="D986" s="88"/>
      <c r="E986" s="88"/>
      <c r="F986" s="88"/>
      <c r="G986" s="114"/>
    </row>
    <row r="987">
      <c r="B987" s="87"/>
      <c r="C987" s="88"/>
      <c r="D987" s="88"/>
      <c r="E987" s="88"/>
      <c r="F987" s="88"/>
      <c r="G987" s="114"/>
    </row>
    <row r="988">
      <c r="B988" s="87"/>
      <c r="C988" s="88"/>
      <c r="D988" s="88"/>
      <c r="E988" s="88"/>
      <c r="F988" s="88"/>
      <c r="G988" s="114"/>
    </row>
    <row r="989">
      <c r="B989" s="87"/>
      <c r="C989" s="88"/>
      <c r="D989" s="88"/>
      <c r="E989" s="88"/>
      <c r="F989" s="88"/>
      <c r="G989" s="114"/>
    </row>
    <row r="990">
      <c r="B990" s="87"/>
      <c r="C990" s="88"/>
      <c r="D990" s="88"/>
      <c r="E990" s="88"/>
      <c r="F990" s="88"/>
      <c r="G990" s="114"/>
    </row>
    <row r="991">
      <c r="B991" s="87"/>
      <c r="C991" s="88"/>
      <c r="D991" s="88"/>
      <c r="E991" s="88"/>
      <c r="F991" s="88"/>
      <c r="G991" s="114"/>
    </row>
    <row r="992">
      <c r="B992" s="87"/>
      <c r="C992" s="88"/>
      <c r="D992" s="88"/>
      <c r="E992" s="88"/>
      <c r="F992" s="88"/>
      <c r="G992" s="114"/>
    </row>
    <row r="993">
      <c r="B993" s="87"/>
      <c r="C993" s="88"/>
      <c r="D993" s="88"/>
      <c r="E993" s="88"/>
      <c r="F993" s="88"/>
      <c r="G993" s="114"/>
    </row>
    <row r="994">
      <c r="B994" s="87"/>
      <c r="C994" s="88"/>
      <c r="D994" s="88"/>
      <c r="E994" s="88"/>
      <c r="F994" s="88"/>
      <c r="G994" s="114"/>
    </row>
    <row r="995">
      <c r="B995" s="87"/>
      <c r="C995" s="88"/>
      <c r="D995" s="88"/>
      <c r="E995" s="88"/>
      <c r="F995" s="88"/>
      <c r="G995" s="114"/>
    </row>
    <row r="996">
      <c r="B996" s="87"/>
      <c r="C996" s="88"/>
      <c r="D996" s="88"/>
      <c r="E996" s="88"/>
      <c r="F996" s="88"/>
      <c r="G996" s="114"/>
    </row>
    <row r="997">
      <c r="B997" s="87"/>
      <c r="C997" s="88"/>
      <c r="D997" s="88"/>
      <c r="E997" s="88"/>
      <c r="F997" s="88"/>
      <c r="G997" s="114"/>
    </row>
    <row r="998">
      <c r="B998" s="87"/>
      <c r="C998" s="88"/>
      <c r="D998" s="88"/>
      <c r="E998" s="88"/>
      <c r="F998" s="88"/>
      <c r="G998" s="114"/>
    </row>
  </sheetData>
  <mergeCells count="9">
    <mergeCell ref="C17:E17"/>
    <mergeCell ref="F17:F19"/>
    <mergeCell ref="B3:G3"/>
    <mergeCell ref="B4:B6"/>
    <mergeCell ref="C4:E4"/>
    <mergeCell ref="F4:F6"/>
    <mergeCell ref="G4:G6"/>
    <mergeCell ref="B16:F16"/>
    <mergeCell ref="B17:B19"/>
  </mergeCells>
  <conditionalFormatting sqref="K9">
    <cfRule type="cellIs" dxfId="5" priority="1" operator="lessThan">
      <formula>700000</formula>
    </cfRule>
  </conditionalFormatting>
  <conditionalFormatting sqref="F13">
    <cfRule type="notContainsBlanks" dxfId="8" priority="2">
      <formula>LEN(TRIM(F13))&gt;0</formula>
    </cfRule>
  </conditionalFormatting>
  <conditionalFormatting sqref="F20:F24">
    <cfRule type="cellIs" dxfId="9" priority="3" operator="lessThan">
      <formula>"20%"</formula>
    </cfRule>
  </conditionalFormatting>
  <conditionalFormatting sqref="F25">
    <cfRule type="cellIs" dxfId="10" priority="4" operator="lessThan">
      <formula>"100%"</formula>
    </cfRule>
  </conditionalFormatting>
  <conditionalFormatting sqref="F7:F11">
    <cfRule type="cellIs" dxfId="11" priority="5" operator="greaterThanOrEqual">
      <formula>100000</formula>
    </cfRule>
  </conditionalFormatting>
  <conditionalFormatting sqref="F7:F11">
    <cfRule type="cellIs" dxfId="12" priority="6" operator="between">
      <formula>95000</formula>
      <formula>99000</formula>
    </cfRule>
  </conditionalFormatting>
  <conditionalFormatting sqref="F7:F11">
    <cfRule type="cellIs" dxfId="13" priority="7" operator="lessThanOrEqual">
      <formula>95000</formula>
    </cfRule>
  </conditionalFormatting>
  <conditionalFormatting sqref="F12">
    <cfRule type="cellIs" dxfId="11" priority="8" operator="greaterThanOrEqual">
      <formula>500000</formula>
    </cfRule>
  </conditionalFormatting>
  <conditionalFormatting sqref="F12">
    <cfRule type="cellIs" dxfId="13" priority="9" operator="lessThanOrEqual">
      <formula>499000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hidden="1" min="1" max="1" width="12.63"/>
    <col customWidth="1" min="2" max="2" width="12.63"/>
    <col customWidth="1" min="6" max="6" width="17.75"/>
    <col customWidth="1" min="7" max="7" width="48.88"/>
  </cols>
  <sheetData>
    <row r="1">
      <c r="B1" s="112" t="s">
        <v>156</v>
      </c>
      <c r="C1" s="88"/>
      <c r="D1" s="88"/>
      <c r="E1" s="88"/>
      <c r="F1" s="113"/>
      <c r="G1" s="114"/>
    </row>
    <row r="2">
      <c r="B2" s="87"/>
      <c r="C2" s="88"/>
      <c r="D2" s="88"/>
      <c r="E2" s="88"/>
      <c r="F2" s="113"/>
      <c r="G2" s="114"/>
    </row>
    <row r="3">
      <c r="B3" s="115" t="s">
        <v>157</v>
      </c>
      <c r="C3" s="57"/>
      <c r="D3" s="57"/>
      <c r="E3" s="57"/>
      <c r="F3" s="57"/>
      <c r="G3" s="58"/>
      <c r="I3" s="116"/>
    </row>
    <row r="4">
      <c r="B4" s="117" t="s">
        <v>24</v>
      </c>
      <c r="C4" s="118" t="s">
        <v>1</v>
      </c>
      <c r="D4" s="57"/>
      <c r="E4" s="58"/>
      <c r="F4" s="119" t="s">
        <v>158</v>
      </c>
      <c r="G4" s="120" t="s">
        <v>159</v>
      </c>
    </row>
    <row r="5">
      <c r="B5" s="121"/>
      <c r="C5" s="122" t="s">
        <v>160</v>
      </c>
      <c r="D5" s="122" t="s">
        <v>161</v>
      </c>
      <c r="E5" s="122" t="s">
        <v>162</v>
      </c>
      <c r="F5" s="121"/>
      <c r="G5" s="121"/>
    </row>
    <row r="6">
      <c r="B6" s="123"/>
      <c r="C6" s="122" t="s">
        <v>32</v>
      </c>
      <c r="D6" s="122" t="s">
        <v>163</v>
      </c>
      <c r="E6" s="122" t="s">
        <v>25</v>
      </c>
      <c r="F6" s="123"/>
      <c r="G6" s="123"/>
    </row>
    <row r="7">
      <c r="B7" s="124">
        <v>46195.0</v>
      </c>
      <c r="C7" s="101">
        <f>SUMIFS(LIBERACION!$V:$V,LIBERACION!$Y:$Y,$B7,LIBERACION!$B:$B,C$6)</f>
        <v>60825</v>
      </c>
      <c r="D7" s="101">
        <f>SUMIFS(LIBERACION!$V:$V,LIBERACION!$Y:$Y,$B7,LIBERACION!$B:$B,D$6)</f>
        <v>0</v>
      </c>
      <c r="E7" s="101">
        <f>SUMIFS(LIBERACION!$V:$V,LIBERACION!$Y:$Y,$B7,LIBERACION!$B:$B,E$6)</f>
        <v>30000</v>
      </c>
      <c r="F7" s="102">
        <f t="shared" ref="F7:F11" si="1">SUM(C7:E7)</f>
        <v>90825</v>
      </c>
      <c r="G7" s="125" t="s">
        <v>170</v>
      </c>
    </row>
    <row r="8">
      <c r="B8" s="124">
        <v>46196.0</v>
      </c>
      <c r="C8" s="101">
        <f>SUMIFS(LIBERACION!$V:$V,LIBERACION!$Y:$Y,$B8,LIBERACION!$B:$B,C$6)</f>
        <v>49200</v>
      </c>
      <c r="D8" s="101">
        <f>SUMIFS(LIBERACION!$V:$V,LIBERACION!$Y:$Y,$B8,LIBERACION!$B:$B,D$6)</f>
        <v>0</v>
      </c>
      <c r="E8" s="101">
        <f>SUMIFS(LIBERACION!$V:$V,LIBERACION!$Y:$Y,$B8,LIBERACION!$B:$B,E$6)</f>
        <v>30250</v>
      </c>
      <c r="F8" s="126">
        <f t="shared" si="1"/>
        <v>79450</v>
      </c>
      <c r="G8" s="125" t="s">
        <v>170</v>
      </c>
    </row>
    <row r="9">
      <c r="B9" s="124">
        <v>46197.0</v>
      </c>
      <c r="C9" s="101">
        <f>SUMIFS(LIBERACION!$V:$V,LIBERACION!$Y:$Y,$B9,LIBERACION!$B:$B,C$6)</f>
        <v>27775</v>
      </c>
      <c r="D9" s="101">
        <f>SUMIFS(LIBERACION!$V:$V,LIBERACION!$Y:$Y,$B9,LIBERACION!$B:$B,D$6)</f>
        <v>0</v>
      </c>
      <c r="E9" s="101">
        <f>SUMIFS(LIBERACION!$V:$V,LIBERACION!$Y:$Y,$B9,LIBERACION!$B:$B,E$6)</f>
        <v>26675</v>
      </c>
      <c r="F9" s="126">
        <f t="shared" si="1"/>
        <v>54450</v>
      </c>
      <c r="G9" s="125" t="s">
        <v>171</v>
      </c>
    </row>
    <row r="10">
      <c r="B10" s="124">
        <v>46198.0</v>
      </c>
      <c r="C10" s="101">
        <f>SUMIFS(LIBERACION!$V:$V,LIBERACION!$Y:$Y,$B10,LIBERACION!$B:$B,C$6)</f>
        <v>64050</v>
      </c>
      <c r="D10" s="101">
        <f>SUMIFS(LIBERACION!$V:$V,LIBERACION!$Y:$Y,$B10,LIBERACION!$B:$B,D$6)</f>
        <v>0</v>
      </c>
      <c r="E10" s="101">
        <f>SUMIFS(LIBERACION!$V:$V,LIBERACION!$Y:$Y,$B10,LIBERACION!$B:$B,E$6)</f>
        <v>18400</v>
      </c>
      <c r="F10" s="102">
        <f t="shared" si="1"/>
        <v>82450</v>
      </c>
      <c r="G10" s="125" t="s">
        <v>172</v>
      </c>
    </row>
    <row r="11">
      <c r="B11" s="124">
        <v>46199.0</v>
      </c>
      <c r="C11" s="101">
        <f>SUMIFS(LIBERACION!$V:$V,LIBERACION!$Y:$Y,$B11,LIBERACION!$B:$B,C$6)</f>
        <v>57385</v>
      </c>
      <c r="D11" s="101">
        <f>SUMIFS(LIBERACION!$V:$V,LIBERACION!$Y:$Y,$B11,LIBERACION!$B:$B,D$6)</f>
        <v>0</v>
      </c>
      <c r="E11" s="101">
        <f>SUMIFS(LIBERACION!$V:$V,LIBERACION!$Y:$Y,$B11,LIBERACION!$B:$B,E$6)</f>
        <v>25200</v>
      </c>
      <c r="F11" s="102">
        <f t="shared" si="1"/>
        <v>82585</v>
      </c>
      <c r="G11" s="125" t="s">
        <v>173</v>
      </c>
    </row>
    <row r="12">
      <c r="B12" s="87"/>
      <c r="C12" s="88"/>
      <c r="D12" s="88"/>
      <c r="E12" s="127" t="s">
        <v>166</v>
      </c>
      <c r="F12" s="101">
        <f> SUM( F7:F11 )</f>
        <v>389760</v>
      </c>
      <c r="G12" s="114"/>
    </row>
    <row r="13">
      <c r="B13" s="87"/>
      <c r="C13" s="88"/>
      <c r="D13" s="88"/>
      <c r="E13" s="88"/>
      <c r="F13" s="88"/>
      <c r="G13" s="114"/>
    </row>
    <row r="14">
      <c r="B14" s="87"/>
      <c r="C14" s="88"/>
      <c r="D14" s="88"/>
      <c r="E14" s="88"/>
      <c r="F14" s="88"/>
      <c r="G14" s="114"/>
    </row>
    <row r="15">
      <c r="B15" s="87"/>
      <c r="C15" s="88"/>
      <c r="D15" s="88"/>
      <c r="E15" s="88"/>
      <c r="F15" s="88"/>
      <c r="G15" s="128"/>
    </row>
    <row r="16">
      <c r="B16" s="115" t="s">
        <v>167</v>
      </c>
      <c r="C16" s="57"/>
      <c r="D16" s="57"/>
      <c r="E16" s="57"/>
      <c r="F16" s="58"/>
      <c r="G16" s="114"/>
    </row>
    <row r="17">
      <c r="B17" s="129" t="s">
        <v>24</v>
      </c>
      <c r="C17" s="130" t="s">
        <v>1</v>
      </c>
      <c r="D17" s="57"/>
      <c r="E17" s="58"/>
      <c r="F17" s="131" t="s">
        <v>168</v>
      </c>
      <c r="G17" s="114"/>
    </row>
    <row r="18">
      <c r="B18" s="121"/>
      <c r="C18" s="132" t="s">
        <v>160</v>
      </c>
      <c r="D18" s="132" t="s">
        <v>161</v>
      </c>
      <c r="E18" s="132" t="s">
        <v>162</v>
      </c>
      <c r="F18" s="121"/>
      <c r="G18" s="114"/>
    </row>
    <row r="19">
      <c r="B19" s="123"/>
      <c r="C19" s="132" t="s">
        <v>32</v>
      </c>
      <c r="D19" s="132" t="s">
        <v>163</v>
      </c>
      <c r="E19" s="132" t="s">
        <v>25</v>
      </c>
      <c r="F19" s="123"/>
      <c r="G19" s="114"/>
    </row>
    <row r="20">
      <c r="B20" s="124">
        <f t="shared" ref="B20:B24" si="3">B7</f>
        <v>46195</v>
      </c>
      <c r="C20" s="103">
        <f t="shared" ref="C20:E20" si="2">((C7*100)/500000)/100</f>
        <v>0.12165</v>
      </c>
      <c r="D20" s="103">
        <f t="shared" si="2"/>
        <v>0</v>
      </c>
      <c r="E20" s="103">
        <f t="shared" si="2"/>
        <v>0.06</v>
      </c>
      <c r="F20" s="103">
        <f t="shared" ref="F20:F24" si="5">SUM(C20:E20)</f>
        <v>0.18165</v>
      </c>
      <c r="G20" s="114"/>
    </row>
    <row r="21">
      <c r="B21" s="124">
        <f t="shared" si="3"/>
        <v>46196</v>
      </c>
      <c r="C21" s="103">
        <f t="shared" ref="C21:E21" si="4">((C8*100)/500000)/100</f>
        <v>0.0984</v>
      </c>
      <c r="D21" s="103">
        <f t="shared" si="4"/>
        <v>0</v>
      </c>
      <c r="E21" s="103">
        <f t="shared" si="4"/>
        <v>0.0605</v>
      </c>
      <c r="F21" s="103">
        <f t="shared" si="5"/>
        <v>0.1589</v>
      </c>
      <c r="G21" s="114"/>
    </row>
    <row r="22">
      <c r="B22" s="124">
        <f t="shared" si="3"/>
        <v>46197</v>
      </c>
      <c r="C22" s="103">
        <f t="shared" ref="C22:E22" si="6">((C9*100)/500000)/100</f>
        <v>0.05555</v>
      </c>
      <c r="D22" s="103">
        <f t="shared" si="6"/>
        <v>0</v>
      </c>
      <c r="E22" s="103">
        <f t="shared" si="6"/>
        <v>0.05335</v>
      </c>
      <c r="F22" s="103">
        <f t="shared" si="5"/>
        <v>0.1089</v>
      </c>
      <c r="G22" s="114"/>
    </row>
    <row r="23">
      <c r="B23" s="124">
        <f t="shared" si="3"/>
        <v>46198</v>
      </c>
      <c r="C23" s="103">
        <f t="shared" ref="C23:E23" si="7">((C10*100)/500000)/100</f>
        <v>0.1281</v>
      </c>
      <c r="D23" s="103">
        <f t="shared" si="7"/>
        <v>0</v>
      </c>
      <c r="E23" s="103">
        <f t="shared" si="7"/>
        <v>0.0368</v>
      </c>
      <c r="F23" s="103">
        <f t="shared" si="5"/>
        <v>0.1649</v>
      </c>
      <c r="G23" s="114"/>
    </row>
    <row r="24">
      <c r="B24" s="124">
        <f t="shared" si="3"/>
        <v>46199</v>
      </c>
      <c r="C24" s="103">
        <f t="shared" ref="C24:E24" si="8">((C11*100)/500000)/100</f>
        <v>0.11477</v>
      </c>
      <c r="D24" s="103">
        <f t="shared" si="8"/>
        <v>0</v>
      </c>
      <c r="E24" s="103">
        <f t="shared" si="8"/>
        <v>0.0504</v>
      </c>
      <c r="F24" s="103">
        <f t="shared" si="5"/>
        <v>0.16517</v>
      </c>
      <c r="G24" s="114"/>
    </row>
    <row r="25">
      <c r="B25" s="87"/>
      <c r="C25" s="88"/>
      <c r="D25" s="88"/>
      <c r="E25" s="127" t="s">
        <v>169</v>
      </c>
      <c r="F25" s="103">
        <f>SUM(F20:F24)</f>
        <v>0.77952</v>
      </c>
      <c r="G25" s="114"/>
    </row>
    <row r="26">
      <c r="B26" s="87"/>
      <c r="C26" s="88"/>
      <c r="D26" s="88"/>
      <c r="E26" s="88"/>
      <c r="F26" s="88"/>
      <c r="G26" s="114"/>
    </row>
    <row r="27">
      <c r="B27" s="87"/>
      <c r="C27" s="88"/>
      <c r="D27" s="88"/>
      <c r="E27" s="88"/>
      <c r="F27" s="88"/>
      <c r="G27" s="114"/>
    </row>
    <row r="28">
      <c r="B28" s="87"/>
      <c r="C28" s="88"/>
      <c r="D28" s="88"/>
      <c r="E28" s="88"/>
      <c r="F28" s="88"/>
      <c r="G28" s="114"/>
    </row>
    <row r="29">
      <c r="B29" s="87"/>
      <c r="C29" s="88"/>
      <c r="D29" s="88"/>
      <c r="E29" s="88"/>
      <c r="F29" s="88"/>
      <c r="G29" s="114"/>
    </row>
    <row r="30">
      <c r="B30" s="87"/>
      <c r="C30" s="88"/>
      <c r="D30" s="88"/>
      <c r="E30" s="88"/>
      <c r="F30" s="88"/>
      <c r="G30" s="114"/>
    </row>
    <row r="31">
      <c r="B31" s="87"/>
      <c r="C31" s="88"/>
      <c r="D31" s="88"/>
      <c r="E31" s="88"/>
      <c r="F31" s="88"/>
      <c r="G31" s="114"/>
    </row>
    <row r="32">
      <c r="B32" s="87"/>
      <c r="C32" s="88"/>
      <c r="D32" s="88"/>
      <c r="E32" s="88"/>
      <c r="F32" s="88"/>
      <c r="G32" s="114"/>
    </row>
    <row r="33">
      <c r="B33" s="87"/>
      <c r="C33" s="88"/>
      <c r="D33" s="88"/>
      <c r="E33" s="88"/>
      <c r="F33" s="88"/>
      <c r="G33" s="114"/>
    </row>
    <row r="34">
      <c r="B34" s="87"/>
      <c r="C34" s="88"/>
      <c r="D34" s="88"/>
      <c r="E34" s="88"/>
      <c r="F34" s="88"/>
      <c r="G34" s="114"/>
    </row>
    <row r="35">
      <c r="B35" s="87"/>
      <c r="C35" s="88"/>
      <c r="D35" s="88"/>
      <c r="E35" s="88"/>
      <c r="F35" s="88"/>
      <c r="G35" s="114"/>
    </row>
    <row r="36">
      <c r="B36" s="87"/>
      <c r="C36" s="88"/>
      <c r="D36" s="88"/>
      <c r="E36" s="88"/>
      <c r="F36" s="88"/>
      <c r="G36" s="114"/>
    </row>
    <row r="37">
      <c r="B37" s="87"/>
      <c r="C37" s="88"/>
      <c r="D37" s="88"/>
      <c r="E37" s="88"/>
      <c r="F37" s="88"/>
      <c r="G37" s="114"/>
    </row>
    <row r="38">
      <c r="B38" s="87"/>
      <c r="C38" s="88"/>
      <c r="D38" s="88"/>
      <c r="E38" s="88"/>
      <c r="F38" s="88"/>
      <c r="G38" s="114"/>
    </row>
    <row r="39">
      <c r="B39" s="87"/>
      <c r="C39" s="88"/>
      <c r="D39" s="88"/>
      <c r="E39" s="88"/>
      <c r="F39" s="88"/>
      <c r="G39" s="114"/>
    </row>
    <row r="40">
      <c r="B40" s="87"/>
      <c r="C40" s="88"/>
      <c r="D40" s="88"/>
      <c r="E40" s="88"/>
      <c r="F40" s="88"/>
      <c r="G40" s="114"/>
    </row>
    <row r="41">
      <c r="B41" s="87"/>
      <c r="C41" s="88"/>
      <c r="D41" s="88"/>
      <c r="E41" s="88"/>
      <c r="F41" s="88"/>
      <c r="G41" s="114"/>
    </row>
    <row r="42">
      <c r="B42" s="87"/>
      <c r="C42" s="88"/>
      <c r="D42" s="88"/>
      <c r="E42" s="88"/>
      <c r="F42" s="88"/>
      <c r="G42" s="114"/>
    </row>
    <row r="43">
      <c r="B43" s="87"/>
      <c r="C43" s="88"/>
      <c r="D43" s="88"/>
      <c r="E43" s="88"/>
      <c r="F43" s="88"/>
      <c r="G43" s="114"/>
    </row>
    <row r="44">
      <c r="B44" s="87"/>
      <c r="C44" s="88"/>
      <c r="D44" s="88"/>
      <c r="E44" s="88"/>
      <c r="F44" s="88"/>
      <c r="G44" s="114"/>
    </row>
    <row r="45">
      <c r="B45" s="87"/>
      <c r="C45" s="88"/>
      <c r="D45" s="88"/>
      <c r="E45" s="88"/>
      <c r="F45" s="88"/>
      <c r="G45" s="114"/>
    </row>
    <row r="46">
      <c r="B46" s="87"/>
      <c r="C46" s="88"/>
      <c r="D46" s="88"/>
      <c r="E46" s="88"/>
      <c r="F46" s="88"/>
      <c r="G46" s="114"/>
    </row>
    <row r="47">
      <c r="B47" s="87"/>
      <c r="C47" s="88"/>
      <c r="D47" s="88"/>
      <c r="E47" s="88"/>
      <c r="F47" s="88"/>
      <c r="G47" s="114"/>
    </row>
    <row r="48">
      <c r="B48" s="87"/>
      <c r="C48" s="88"/>
      <c r="D48" s="88"/>
      <c r="E48" s="88"/>
      <c r="F48" s="88"/>
      <c r="G48" s="114"/>
    </row>
    <row r="49">
      <c r="B49" s="87"/>
      <c r="C49" s="88"/>
      <c r="D49" s="88"/>
      <c r="E49" s="88"/>
      <c r="F49" s="88"/>
      <c r="G49" s="114"/>
    </row>
    <row r="50">
      <c r="B50" s="87"/>
      <c r="C50" s="88"/>
      <c r="D50" s="88"/>
      <c r="E50" s="88"/>
      <c r="F50" s="88"/>
      <c r="G50" s="114"/>
    </row>
    <row r="51">
      <c r="B51" s="87"/>
      <c r="C51" s="88"/>
      <c r="D51" s="88"/>
      <c r="E51" s="88"/>
      <c r="F51" s="88"/>
      <c r="G51" s="114"/>
    </row>
    <row r="52">
      <c r="B52" s="87"/>
      <c r="C52" s="88"/>
      <c r="D52" s="88"/>
      <c r="E52" s="88"/>
      <c r="F52" s="88"/>
      <c r="G52" s="114"/>
    </row>
    <row r="53">
      <c r="B53" s="87"/>
      <c r="C53" s="88"/>
      <c r="D53" s="88"/>
      <c r="E53" s="88"/>
      <c r="F53" s="88"/>
      <c r="G53" s="114"/>
    </row>
    <row r="54">
      <c r="B54" s="87"/>
      <c r="C54" s="88"/>
      <c r="D54" s="88"/>
      <c r="E54" s="88"/>
      <c r="F54" s="88"/>
      <c r="G54" s="114"/>
    </row>
    <row r="55">
      <c r="B55" s="87"/>
      <c r="C55" s="88"/>
      <c r="D55" s="88"/>
      <c r="E55" s="88"/>
      <c r="F55" s="88"/>
      <c r="G55" s="114"/>
    </row>
    <row r="56">
      <c r="B56" s="87"/>
      <c r="C56" s="88"/>
      <c r="D56" s="88"/>
      <c r="E56" s="88"/>
      <c r="F56" s="88"/>
      <c r="G56" s="114"/>
    </row>
    <row r="57">
      <c r="B57" s="87"/>
      <c r="C57" s="88"/>
      <c r="D57" s="88"/>
      <c r="E57" s="88"/>
      <c r="F57" s="88"/>
      <c r="G57" s="114"/>
    </row>
    <row r="58">
      <c r="B58" s="87"/>
      <c r="C58" s="88"/>
      <c r="D58" s="88"/>
      <c r="E58" s="88"/>
      <c r="F58" s="88"/>
      <c r="G58" s="114"/>
    </row>
    <row r="59">
      <c r="B59" s="87"/>
      <c r="C59" s="88"/>
      <c r="D59" s="88"/>
      <c r="E59" s="88"/>
      <c r="F59" s="88"/>
      <c r="G59" s="114"/>
    </row>
    <row r="60">
      <c r="B60" s="87"/>
      <c r="C60" s="88"/>
      <c r="D60" s="88"/>
      <c r="E60" s="88"/>
      <c r="F60" s="88"/>
      <c r="G60" s="114"/>
    </row>
    <row r="61">
      <c r="B61" s="87"/>
      <c r="C61" s="88"/>
      <c r="D61" s="88"/>
      <c r="E61" s="88"/>
      <c r="F61" s="88"/>
      <c r="G61" s="114"/>
    </row>
    <row r="62">
      <c r="B62" s="87"/>
      <c r="C62" s="88"/>
      <c r="D62" s="88"/>
      <c r="E62" s="88"/>
      <c r="F62" s="88"/>
      <c r="G62" s="114"/>
    </row>
    <row r="63">
      <c r="B63" s="87"/>
      <c r="C63" s="88"/>
      <c r="D63" s="88"/>
      <c r="E63" s="88"/>
      <c r="F63" s="88"/>
      <c r="G63" s="114"/>
    </row>
    <row r="64">
      <c r="B64" s="87"/>
      <c r="C64" s="88"/>
      <c r="D64" s="88"/>
      <c r="E64" s="88"/>
      <c r="F64" s="88"/>
      <c r="G64" s="114"/>
    </row>
    <row r="65">
      <c r="B65" s="87"/>
      <c r="C65" s="88"/>
      <c r="D65" s="88"/>
      <c r="E65" s="88"/>
      <c r="F65" s="88"/>
      <c r="G65" s="114"/>
    </row>
    <row r="66">
      <c r="B66" s="87"/>
      <c r="C66" s="88"/>
      <c r="D66" s="88"/>
      <c r="E66" s="88"/>
      <c r="F66" s="88"/>
      <c r="G66" s="114"/>
    </row>
    <row r="67">
      <c r="B67" s="87"/>
      <c r="C67" s="88"/>
      <c r="D67" s="88"/>
      <c r="E67" s="88"/>
      <c r="F67" s="88"/>
      <c r="G67" s="114"/>
    </row>
    <row r="68">
      <c r="B68" s="87"/>
      <c r="C68" s="88"/>
      <c r="D68" s="88"/>
      <c r="E68" s="88"/>
      <c r="F68" s="88"/>
      <c r="G68" s="114"/>
    </row>
    <row r="69">
      <c r="B69" s="87"/>
      <c r="C69" s="88"/>
      <c r="D69" s="88"/>
      <c r="E69" s="88"/>
      <c r="F69" s="88"/>
      <c r="G69" s="114"/>
    </row>
    <row r="70">
      <c r="B70" s="87"/>
      <c r="C70" s="88"/>
      <c r="D70" s="88"/>
      <c r="E70" s="88"/>
      <c r="F70" s="88"/>
      <c r="G70" s="114"/>
    </row>
    <row r="71">
      <c r="B71" s="87"/>
      <c r="C71" s="88"/>
      <c r="D71" s="88"/>
      <c r="E71" s="88"/>
      <c r="F71" s="88"/>
      <c r="G71" s="114"/>
    </row>
    <row r="72">
      <c r="B72" s="87"/>
      <c r="C72" s="88"/>
      <c r="D72" s="88"/>
      <c r="E72" s="88"/>
      <c r="F72" s="88"/>
      <c r="G72" s="114"/>
    </row>
    <row r="73">
      <c r="B73" s="87"/>
      <c r="C73" s="88"/>
      <c r="D73" s="88"/>
      <c r="E73" s="88"/>
      <c r="F73" s="88"/>
      <c r="G73" s="114"/>
    </row>
    <row r="74">
      <c r="B74" s="87"/>
      <c r="C74" s="88"/>
      <c r="D74" s="88"/>
      <c r="E74" s="88"/>
      <c r="F74" s="88"/>
      <c r="G74" s="114"/>
    </row>
    <row r="75">
      <c r="B75" s="87"/>
      <c r="C75" s="88"/>
      <c r="D75" s="88"/>
      <c r="E75" s="88"/>
      <c r="F75" s="88"/>
      <c r="G75" s="114"/>
    </row>
    <row r="76">
      <c r="B76" s="87"/>
      <c r="C76" s="88"/>
      <c r="D76" s="88"/>
      <c r="E76" s="88"/>
      <c r="F76" s="88"/>
      <c r="G76" s="114"/>
    </row>
    <row r="77">
      <c r="B77" s="87"/>
      <c r="C77" s="88"/>
      <c r="D77" s="88"/>
      <c r="E77" s="88"/>
      <c r="F77" s="88"/>
      <c r="G77" s="114"/>
    </row>
    <row r="78">
      <c r="B78" s="87"/>
      <c r="C78" s="88"/>
      <c r="D78" s="88"/>
      <c r="E78" s="88"/>
      <c r="F78" s="88"/>
      <c r="G78" s="114"/>
    </row>
    <row r="79">
      <c r="B79" s="87"/>
      <c r="C79" s="88"/>
      <c r="D79" s="88"/>
      <c r="E79" s="88"/>
      <c r="F79" s="88"/>
      <c r="G79" s="114"/>
    </row>
    <row r="80">
      <c r="B80" s="87"/>
      <c r="C80" s="88"/>
      <c r="D80" s="88"/>
      <c r="E80" s="88"/>
      <c r="F80" s="88"/>
      <c r="G80" s="114"/>
    </row>
    <row r="81">
      <c r="B81" s="87"/>
      <c r="C81" s="88"/>
      <c r="D81" s="88"/>
      <c r="E81" s="88"/>
      <c r="F81" s="88"/>
      <c r="G81" s="114"/>
    </row>
    <row r="82">
      <c r="B82" s="87"/>
      <c r="C82" s="88"/>
      <c r="D82" s="88"/>
      <c r="E82" s="88"/>
      <c r="F82" s="88"/>
      <c r="G82" s="114"/>
    </row>
    <row r="83">
      <c r="B83" s="87"/>
      <c r="C83" s="88"/>
      <c r="D83" s="88"/>
      <c r="E83" s="88"/>
      <c r="F83" s="88"/>
      <c r="G83" s="114"/>
    </row>
    <row r="84">
      <c r="B84" s="87"/>
      <c r="C84" s="88"/>
      <c r="D84" s="88"/>
      <c r="E84" s="88"/>
      <c r="F84" s="88"/>
      <c r="G84" s="114"/>
    </row>
    <row r="85">
      <c r="B85" s="87"/>
      <c r="C85" s="88"/>
      <c r="D85" s="88"/>
      <c r="E85" s="88"/>
      <c r="F85" s="88"/>
      <c r="G85" s="114"/>
    </row>
    <row r="86">
      <c r="B86" s="87"/>
      <c r="C86" s="88"/>
      <c r="D86" s="88"/>
      <c r="E86" s="88"/>
      <c r="F86" s="88"/>
      <c r="G86" s="114"/>
    </row>
    <row r="87">
      <c r="B87" s="87"/>
      <c r="C87" s="88"/>
      <c r="D87" s="88"/>
      <c r="E87" s="88"/>
      <c r="F87" s="88"/>
      <c r="G87" s="114"/>
    </row>
    <row r="88">
      <c r="B88" s="87"/>
      <c r="C88" s="88"/>
      <c r="D88" s="88"/>
      <c r="E88" s="88"/>
      <c r="F88" s="88"/>
      <c r="G88" s="114"/>
    </row>
    <row r="89">
      <c r="B89" s="87"/>
      <c r="C89" s="88"/>
      <c r="D89" s="88"/>
      <c r="E89" s="88"/>
      <c r="F89" s="88"/>
      <c r="G89" s="114"/>
    </row>
    <row r="90">
      <c r="B90" s="87"/>
      <c r="C90" s="88"/>
      <c r="D90" s="88"/>
      <c r="E90" s="88"/>
      <c r="F90" s="88"/>
      <c r="G90" s="114"/>
    </row>
    <row r="91">
      <c r="B91" s="87"/>
      <c r="C91" s="88"/>
      <c r="D91" s="88"/>
      <c r="E91" s="88"/>
      <c r="F91" s="88"/>
      <c r="G91" s="114"/>
    </row>
    <row r="92">
      <c r="B92" s="87"/>
      <c r="C92" s="88"/>
      <c r="D92" s="88"/>
      <c r="E92" s="88"/>
      <c r="F92" s="88"/>
      <c r="G92" s="114"/>
    </row>
    <row r="93">
      <c r="B93" s="87"/>
      <c r="C93" s="88"/>
      <c r="D93" s="88"/>
      <c r="E93" s="88"/>
      <c r="F93" s="88"/>
      <c r="G93" s="114"/>
    </row>
    <row r="94">
      <c r="B94" s="87"/>
      <c r="C94" s="88"/>
      <c r="D94" s="88"/>
      <c r="E94" s="88"/>
      <c r="F94" s="88"/>
      <c r="G94" s="114"/>
    </row>
    <row r="95">
      <c r="B95" s="87"/>
      <c r="C95" s="88"/>
      <c r="D95" s="88"/>
      <c r="E95" s="88"/>
      <c r="F95" s="88"/>
      <c r="G95" s="114"/>
    </row>
    <row r="96">
      <c r="B96" s="87"/>
      <c r="C96" s="88"/>
      <c r="D96" s="88"/>
      <c r="E96" s="88"/>
      <c r="F96" s="88"/>
      <c r="G96" s="114"/>
    </row>
    <row r="97">
      <c r="B97" s="87"/>
      <c r="C97" s="88"/>
      <c r="D97" s="88"/>
      <c r="E97" s="88"/>
      <c r="F97" s="88"/>
      <c r="G97" s="114"/>
    </row>
    <row r="98">
      <c r="B98" s="87"/>
      <c r="C98" s="88"/>
      <c r="D98" s="88"/>
      <c r="E98" s="88"/>
      <c r="F98" s="88"/>
      <c r="G98" s="114"/>
    </row>
    <row r="99">
      <c r="B99" s="87"/>
      <c r="C99" s="88"/>
      <c r="D99" s="88"/>
      <c r="E99" s="88"/>
      <c r="F99" s="88"/>
      <c r="G99" s="114"/>
    </row>
    <row r="100">
      <c r="B100" s="87"/>
      <c r="C100" s="88"/>
      <c r="D100" s="88"/>
      <c r="E100" s="88"/>
      <c r="F100" s="88"/>
      <c r="G100" s="114"/>
    </row>
    <row r="101">
      <c r="B101" s="87"/>
      <c r="C101" s="88"/>
      <c r="D101" s="88"/>
      <c r="E101" s="88"/>
      <c r="F101" s="88"/>
      <c r="G101" s="114"/>
    </row>
    <row r="102">
      <c r="B102" s="87"/>
      <c r="C102" s="88"/>
      <c r="D102" s="88"/>
      <c r="E102" s="88"/>
      <c r="F102" s="88"/>
      <c r="G102" s="114"/>
    </row>
    <row r="103">
      <c r="B103" s="87"/>
      <c r="C103" s="88"/>
      <c r="D103" s="88"/>
      <c r="E103" s="88"/>
      <c r="F103" s="88"/>
      <c r="G103" s="114"/>
    </row>
    <row r="104">
      <c r="B104" s="87"/>
      <c r="C104" s="88"/>
      <c r="D104" s="88"/>
      <c r="E104" s="88"/>
      <c r="F104" s="88"/>
      <c r="G104" s="114"/>
    </row>
    <row r="105">
      <c r="B105" s="87"/>
      <c r="C105" s="88"/>
      <c r="D105" s="88"/>
      <c r="E105" s="88"/>
      <c r="F105" s="88"/>
      <c r="G105" s="114"/>
    </row>
    <row r="106">
      <c r="B106" s="87"/>
      <c r="C106" s="88"/>
      <c r="D106" s="88"/>
      <c r="E106" s="88"/>
      <c r="F106" s="88"/>
      <c r="G106" s="114"/>
    </row>
    <row r="107">
      <c r="B107" s="87"/>
      <c r="C107" s="88"/>
      <c r="D107" s="88"/>
      <c r="E107" s="88"/>
      <c r="F107" s="88"/>
      <c r="G107" s="114"/>
    </row>
    <row r="108">
      <c r="B108" s="87"/>
      <c r="C108" s="88"/>
      <c r="D108" s="88"/>
      <c r="E108" s="88"/>
      <c r="F108" s="88"/>
      <c r="G108" s="114"/>
    </row>
    <row r="109">
      <c r="B109" s="87"/>
      <c r="C109" s="88"/>
      <c r="D109" s="88"/>
      <c r="E109" s="88"/>
      <c r="F109" s="88"/>
      <c r="G109" s="114"/>
    </row>
    <row r="110">
      <c r="B110" s="87"/>
      <c r="C110" s="88"/>
      <c r="D110" s="88"/>
      <c r="E110" s="88"/>
      <c r="F110" s="88"/>
      <c r="G110" s="114"/>
    </row>
    <row r="111">
      <c r="B111" s="87"/>
      <c r="C111" s="88"/>
      <c r="D111" s="88"/>
      <c r="E111" s="88"/>
      <c r="F111" s="88"/>
      <c r="G111" s="114"/>
    </row>
    <row r="112">
      <c r="B112" s="87"/>
      <c r="C112" s="88"/>
      <c r="D112" s="88"/>
      <c r="E112" s="88"/>
      <c r="F112" s="88"/>
      <c r="G112" s="114"/>
    </row>
    <row r="113">
      <c r="B113" s="87"/>
      <c r="C113" s="88"/>
      <c r="D113" s="88"/>
      <c r="E113" s="88"/>
      <c r="F113" s="88"/>
      <c r="G113" s="114"/>
    </row>
    <row r="114">
      <c r="B114" s="87"/>
      <c r="C114" s="88"/>
      <c r="D114" s="88"/>
      <c r="E114" s="88"/>
      <c r="F114" s="88"/>
      <c r="G114" s="114"/>
    </row>
    <row r="115">
      <c r="B115" s="87"/>
      <c r="C115" s="88"/>
      <c r="D115" s="88"/>
      <c r="E115" s="88"/>
      <c r="F115" s="88"/>
      <c r="G115" s="114"/>
    </row>
    <row r="116">
      <c r="B116" s="87"/>
      <c r="C116" s="88"/>
      <c r="D116" s="88"/>
      <c r="E116" s="88"/>
      <c r="F116" s="88"/>
      <c r="G116" s="114"/>
    </row>
    <row r="117">
      <c r="B117" s="87"/>
      <c r="C117" s="88"/>
      <c r="D117" s="88"/>
      <c r="E117" s="88"/>
      <c r="F117" s="88"/>
      <c r="G117" s="114"/>
    </row>
    <row r="118">
      <c r="B118" s="87"/>
      <c r="C118" s="88"/>
      <c r="D118" s="88"/>
      <c r="E118" s="88"/>
      <c r="F118" s="88"/>
      <c r="G118" s="114"/>
    </row>
    <row r="119">
      <c r="B119" s="87"/>
      <c r="C119" s="88"/>
      <c r="D119" s="88"/>
      <c r="E119" s="88"/>
      <c r="F119" s="88"/>
      <c r="G119" s="114"/>
    </row>
    <row r="120">
      <c r="B120" s="87"/>
      <c r="C120" s="88"/>
      <c r="D120" s="88"/>
      <c r="E120" s="88"/>
      <c r="F120" s="88"/>
      <c r="G120" s="114"/>
    </row>
    <row r="121">
      <c r="B121" s="87"/>
      <c r="C121" s="88"/>
      <c r="D121" s="88"/>
      <c r="E121" s="88"/>
      <c r="F121" s="88"/>
      <c r="G121" s="114"/>
    </row>
    <row r="122">
      <c r="B122" s="87"/>
      <c r="C122" s="88"/>
      <c r="D122" s="88"/>
      <c r="E122" s="88"/>
      <c r="F122" s="88"/>
      <c r="G122" s="114"/>
    </row>
    <row r="123">
      <c r="B123" s="87"/>
      <c r="C123" s="88"/>
      <c r="D123" s="88"/>
      <c r="E123" s="88"/>
      <c r="F123" s="88"/>
      <c r="G123" s="114"/>
    </row>
    <row r="124">
      <c r="B124" s="87"/>
      <c r="C124" s="88"/>
      <c r="D124" s="88"/>
      <c r="E124" s="88"/>
      <c r="F124" s="88"/>
      <c r="G124" s="114"/>
    </row>
    <row r="125">
      <c r="B125" s="87"/>
      <c r="C125" s="88"/>
      <c r="D125" s="88"/>
      <c r="E125" s="88"/>
      <c r="F125" s="88"/>
      <c r="G125" s="114"/>
    </row>
    <row r="126">
      <c r="B126" s="87"/>
      <c r="C126" s="88"/>
      <c r="D126" s="88"/>
      <c r="E126" s="88"/>
      <c r="F126" s="88"/>
      <c r="G126" s="114"/>
    </row>
    <row r="127">
      <c r="B127" s="87"/>
      <c r="C127" s="88"/>
      <c r="D127" s="88"/>
      <c r="E127" s="88"/>
      <c r="F127" s="88"/>
      <c r="G127" s="114"/>
    </row>
    <row r="128">
      <c r="B128" s="87"/>
      <c r="C128" s="88"/>
      <c r="D128" s="88"/>
      <c r="E128" s="88"/>
      <c r="F128" s="88"/>
      <c r="G128" s="114"/>
    </row>
    <row r="129">
      <c r="B129" s="87"/>
      <c r="C129" s="88"/>
      <c r="D129" s="88"/>
      <c r="E129" s="88"/>
      <c r="F129" s="88"/>
      <c r="G129" s="114"/>
    </row>
    <row r="130">
      <c r="B130" s="87"/>
      <c r="C130" s="88"/>
      <c r="D130" s="88"/>
      <c r="E130" s="88"/>
      <c r="F130" s="88"/>
      <c r="G130" s="114"/>
    </row>
    <row r="131">
      <c r="B131" s="87"/>
      <c r="C131" s="88"/>
      <c r="D131" s="88"/>
      <c r="E131" s="88"/>
      <c r="F131" s="88"/>
      <c r="G131" s="114"/>
    </row>
    <row r="132">
      <c r="B132" s="87"/>
      <c r="C132" s="88"/>
      <c r="D132" s="88"/>
      <c r="E132" s="88"/>
      <c r="F132" s="88"/>
      <c r="G132" s="114"/>
    </row>
    <row r="133">
      <c r="B133" s="87"/>
      <c r="C133" s="88"/>
      <c r="D133" s="88"/>
      <c r="E133" s="88"/>
      <c r="F133" s="88"/>
      <c r="G133" s="114"/>
    </row>
    <row r="134">
      <c r="B134" s="87"/>
      <c r="C134" s="88"/>
      <c r="D134" s="88"/>
      <c r="E134" s="88"/>
      <c r="F134" s="88"/>
      <c r="G134" s="114"/>
    </row>
    <row r="135">
      <c r="B135" s="87"/>
      <c r="C135" s="88"/>
      <c r="D135" s="88"/>
      <c r="E135" s="88"/>
      <c r="F135" s="88"/>
      <c r="G135" s="114"/>
    </row>
    <row r="136">
      <c r="B136" s="87"/>
      <c r="C136" s="88"/>
      <c r="D136" s="88"/>
      <c r="E136" s="88"/>
      <c r="F136" s="88"/>
      <c r="G136" s="114"/>
    </row>
    <row r="137">
      <c r="B137" s="87"/>
      <c r="C137" s="88"/>
      <c r="D137" s="88"/>
      <c r="E137" s="88"/>
      <c r="F137" s="88"/>
      <c r="G137" s="114"/>
    </row>
    <row r="138">
      <c r="B138" s="87"/>
      <c r="C138" s="88"/>
      <c r="D138" s="88"/>
      <c r="E138" s="88"/>
      <c r="F138" s="88"/>
      <c r="G138" s="114"/>
    </row>
    <row r="139">
      <c r="B139" s="87"/>
      <c r="C139" s="88"/>
      <c r="D139" s="88"/>
      <c r="E139" s="88"/>
      <c r="F139" s="88"/>
      <c r="G139" s="114"/>
    </row>
    <row r="140">
      <c r="B140" s="87"/>
      <c r="C140" s="88"/>
      <c r="D140" s="88"/>
      <c r="E140" s="88"/>
      <c r="F140" s="88"/>
      <c r="G140" s="114"/>
    </row>
    <row r="141">
      <c r="B141" s="87"/>
      <c r="C141" s="88"/>
      <c r="D141" s="88"/>
      <c r="E141" s="88"/>
      <c r="F141" s="88"/>
      <c r="G141" s="114"/>
    </row>
    <row r="142">
      <c r="B142" s="87"/>
      <c r="C142" s="88"/>
      <c r="D142" s="88"/>
      <c r="E142" s="88"/>
      <c r="F142" s="88"/>
      <c r="G142" s="114"/>
    </row>
    <row r="143">
      <c r="B143" s="87"/>
      <c r="C143" s="88"/>
      <c r="D143" s="88"/>
      <c r="E143" s="88"/>
      <c r="F143" s="88"/>
      <c r="G143" s="114"/>
    </row>
    <row r="144">
      <c r="B144" s="87"/>
      <c r="C144" s="88"/>
      <c r="D144" s="88"/>
      <c r="E144" s="88"/>
      <c r="F144" s="88"/>
      <c r="G144" s="114"/>
    </row>
    <row r="145">
      <c r="B145" s="87"/>
      <c r="C145" s="88"/>
      <c r="D145" s="88"/>
      <c r="E145" s="88"/>
      <c r="F145" s="88"/>
      <c r="G145" s="114"/>
    </row>
    <row r="146">
      <c r="B146" s="87"/>
      <c r="C146" s="88"/>
      <c r="D146" s="88"/>
      <c r="E146" s="88"/>
      <c r="F146" s="88"/>
      <c r="G146" s="114"/>
    </row>
    <row r="147">
      <c r="B147" s="87"/>
      <c r="C147" s="88"/>
      <c r="D147" s="88"/>
      <c r="E147" s="88"/>
      <c r="F147" s="88"/>
      <c r="G147" s="114"/>
    </row>
    <row r="148">
      <c r="B148" s="87"/>
      <c r="C148" s="88"/>
      <c r="D148" s="88"/>
      <c r="E148" s="88"/>
      <c r="F148" s="88"/>
      <c r="G148" s="114"/>
    </row>
    <row r="149">
      <c r="B149" s="87"/>
      <c r="C149" s="88"/>
      <c r="D149" s="88"/>
      <c r="E149" s="88"/>
      <c r="F149" s="88"/>
      <c r="G149" s="114"/>
    </row>
    <row r="150">
      <c r="B150" s="87"/>
      <c r="C150" s="88"/>
      <c r="D150" s="88"/>
      <c r="E150" s="88"/>
      <c r="F150" s="88"/>
      <c r="G150" s="114"/>
    </row>
    <row r="151">
      <c r="B151" s="87"/>
      <c r="C151" s="88"/>
      <c r="D151" s="88"/>
      <c r="E151" s="88"/>
      <c r="F151" s="88"/>
      <c r="G151" s="114"/>
    </row>
    <row r="152">
      <c r="B152" s="87"/>
      <c r="C152" s="88"/>
      <c r="D152" s="88"/>
      <c r="E152" s="88"/>
      <c r="F152" s="88"/>
      <c r="G152" s="114"/>
    </row>
    <row r="153">
      <c r="B153" s="87"/>
      <c r="C153" s="88"/>
      <c r="D153" s="88"/>
      <c r="E153" s="88"/>
      <c r="F153" s="88"/>
      <c r="G153" s="114"/>
    </row>
    <row r="154">
      <c r="B154" s="87"/>
      <c r="C154" s="88"/>
      <c r="D154" s="88"/>
      <c r="E154" s="88"/>
      <c r="F154" s="88"/>
      <c r="G154" s="114"/>
    </row>
    <row r="155">
      <c r="B155" s="87"/>
      <c r="C155" s="88"/>
      <c r="D155" s="88"/>
      <c r="E155" s="88"/>
      <c r="F155" s="88"/>
      <c r="G155" s="114"/>
    </row>
    <row r="156">
      <c r="B156" s="87"/>
      <c r="C156" s="88"/>
      <c r="D156" s="88"/>
      <c r="E156" s="88"/>
      <c r="F156" s="88"/>
      <c r="G156" s="114"/>
    </row>
    <row r="157">
      <c r="B157" s="87"/>
      <c r="C157" s="88"/>
      <c r="D157" s="88"/>
      <c r="E157" s="88"/>
      <c r="F157" s="88"/>
      <c r="G157" s="114"/>
    </row>
    <row r="158">
      <c r="B158" s="87"/>
      <c r="C158" s="88"/>
      <c r="D158" s="88"/>
      <c r="E158" s="88"/>
      <c r="F158" s="88"/>
      <c r="G158" s="114"/>
    </row>
    <row r="159">
      <c r="B159" s="87"/>
      <c r="C159" s="88"/>
      <c r="D159" s="88"/>
      <c r="E159" s="88"/>
      <c r="F159" s="88"/>
      <c r="G159" s="114"/>
    </row>
    <row r="160">
      <c r="B160" s="87"/>
      <c r="C160" s="88"/>
      <c r="D160" s="88"/>
      <c r="E160" s="88"/>
      <c r="F160" s="88"/>
      <c r="G160" s="114"/>
    </row>
    <row r="161">
      <c r="B161" s="87"/>
      <c r="C161" s="88"/>
      <c r="D161" s="88"/>
      <c r="E161" s="88"/>
      <c r="F161" s="88"/>
      <c r="G161" s="114"/>
    </row>
    <row r="162">
      <c r="B162" s="87"/>
      <c r="C162" s="88"/>
      <c r="D162" s="88"/>
      <c r="E162" s="88"/>
      <c r="F162" s="88"/>
      <c r="G162" s="114"/>
    </row>
    <row r="163">
      <c r="B163" s="87"/>
      <c r="C163" s="88"/>
      <c r="D163" s="88"/>
      <c r="E163" s="88"/>
      <c r="F163" s="88"/>
      <c r="G163" s="114"/>
    </row>
    <row r="164">
      <c r="B164" s="87"/>
      <c r="C164" s="88"/>
      <c r="D164" s="88"/>
      <c r="E164" s="88"/>
      <c r="F164" s="88"/>
      <c r="G164" s="114"/>
    </row>
    <row r="165">
      <c r="B165" s="87"/>
      <c r="C165" s="88"/>
      <c r="D165" s="88"/>
      <c r="E165" s="88"/>
      <c r="F165" s="88"/>
      <c r="G165" s="114"/>
    </row>
    <row r="166">
      <c r="B166" s="87"/>
      <c r="C166" s="88"/>
      <c r="D166" s="88"/>
      <c r="E166" s="88"/>
      <c r="F166" s="88"/>
      <c r="G166" s="114"/>
    </row>
    <row r="167">
      <c r="B167" s="87"/>
      <c r="C167" s="88"/>
      <c r="D167" s="88"/>
      <c r="E167" s="88"/>
      <c r="F167" s="88"/>
      <c r="G167" s="114"/>
    </row>
    <row r="168">
      <c r="B168" s="87"/>
      <c r="C168" s="88"/>
      <c r="D168" s="88"/>
      <c r="E168" s="88"/>
      <c r="F168" s="88"/>
      <c r="G168" s="114"/>
    </row>
    <row r="169">
      <c r="B169" s="87"/>
      <c r="C169" s="88"/>
      <c r="D169" s="88"/>
      <c r="E169" s="88"/>
      <c r="F169" s="88"/>
      <c r="G169" s="114"/>
    </row>
    <row r="170">
      <c r="B170" s="87"/>
      <c r="C170" s="88"/>
      <c r="D170" s="88"/>
      <c r="E170" s="88"/>
      <c r="F170" s="88"/>
      <c r="G170" s="114"/>
    </row>
    <row r="171">
      <c r="B171" s="87"/>
      <c r="C171" s="88"/>
      <c r="D171" s="88"/>
      <c r="E171" s="88"/>
      <c r="F171" s="88"/>
      <c r="G171" s="114"/>
    </row>
    <row r="172">
      <c r="B172" s="87"/>
      <c r="C172" s="88"/>
      <c r="D172" s="88"/>
      <c r="E172" s="88"/>
      <c r="F172" s="88"/>
      <c r="G172" s="114"/>
    </row>
    <row r="173">
      <c r="B173" s="87"/>
      <c r="C173" s="88"/>
      <c r="D173" s="88"/>
      <c r="E173" s="88"/>
      <c r="F173" s="88"/>
      <c r="G173" s="114"/>
    </row>
    <row r="174">
      <c r="B174" s="87"/>
      <c r="C174" s="88"/>
      <c r="D174" s="88"/>
      <c r="E174" s="88"/>
      <c r="F174" s="88"/>
      <c r="G174" s="114"/>
    </row>
    <row r="175">
      <c r="B175" s="87"/>
      <c r="C175" s="88"/>
      <c r="D175" s="88"/>
      <c r="E175" s="88"/>
      <c r="F175" s="88"/>
      <c r="G175" s="114"/>
    </row>
    <row r="176">
      <c r="B176" s="87"/>
      <c r="C176" s="88"/>
      <c r="D176" s="88"/>
      <c r="E176" s="88"/>
      <c r="F176" s="88"/>
      <c r="G176" s="114"/>
    </row>
    <row r="177">
      <c r="B177" s="87"/>
      <c r="C177" s="88"/>
      <c r="D177" s="88"/>
      <c r="E177" s="88"/>
      <c r="F177" s="88"/>
      <c r="G177" s="114"/>
    </row>
    <row r="178">
      <c r="B178" s="87"/>
      <c r="C178" s="88"/>
      <c r="D178" s="88"/>
      <c r="E178" s="88"/>
      <c r="F178" s="88"/>
      <c r="G178" s="114"/>
    </row>
    <row r="179">
      <c r="B179" s="87"/>
      <c r="C179" s="88"/>
      <c r="D179" s="88"/>
      <c r="E179" s="88"/>
      <c r="F179" s="88"/>
      <c r="G179" s="114"/>
    </row>
    <row r="180">
      <c r="B180" s="87"/>
      <c r="C180" s="88"/>
      <c r="D180" s="88"/>
      <c r="E180" s="88"/>
      <c r="F180" s="88"/>
      <c r="G180" s="114"/>
    </row>
    <row r="181">
      <c r="B181" s="87"/>
      <c r="C181" s="88"/>
      <c r="D181" s="88"/>
      <c r="E181" s="88"/>
      <c r="F181" s="88"/>
      <c r="G181" s="114"/>
    </row>
    <row r="182">
      <c r="B182" s="87"/>
      <c r="C182" s="88"/>
      <c r="D182" s="88"/>
      <c r="E182" s="88"/>
      <c r="F182" s="88"/>
      <c r="G182" s="114"/>
    </row>
    <row r="183">
      <c r="B183" s="87"/>
      <c r="C183" s="88"/>
      <c r="D183" s="88"/>
      <c r="E183" s="88"/>
      <c r="F183" s="88"/>
      <c r="G183" s="114"/>
    </row>
    <row r="184">
      <c r="B184" s="87"/>
      <c r="C184" s="88"/>
      <c r="D184" s="88"/>
      <c r="E184" s="88"/>
      <c r="F184" s="88"/>
      <c r="G184" s="114"/>
    </row>
    <row r="185">
      <c r="B185" s="87"/>
      <c r="C185" s="88"/>
      <c r="D185" s="88"/>
      <c r="E185" s="88"/>
      <c r="F185" s="88"/>
      <c r="G185" s="114"/>
    </row>
    <row r="186">
      <c r="B186" s="87"/>
      <c r="C186" s="88"/>
      <c r="D186" s="88"/>
      <c r="E186" s="88"/>
      <c r="F186" s="88"/>
      <c r="G186" s="114"/>
    </row>
    <row r="187">
      <c r="B187" s="87"/>
      <c r="C187" s="88"/>
      <c r="D187" s="88"/>
      <c r="E187" s="88"/>
      <c r="F187" s="88"/>
      <c r="G187" s="114"/>
    </row>
    <row r="188">
      <c r="B188" s="87"/>
      <c r="C188" s="88"/>
      <c r="D188" s="88"/>
      <c r="E188" s="88"/>
      <c r="F188" s="88"/>
      <c r="G188" s="114"/>
    </row>
    <row r="189">
      <c r="B189" s="87"/>
      <c r="C189" s="88"/>
      <c r="D189" s="88"/>
      <c r="E189" s="88"/>
      <c r="F189" s="88"/>
      <c r="G189" s="114"/>
    </row>
    <row r="190">
      <c r="B190" s="87"/>
      <c r="C190" s="88"/>
      <c r="D190" s="88"/>
      <c r="E190" s="88"/>
      <c r="F190" s="88"/>
      <c r="G190" s="114"/>
    </row>
    <row r="191">
      <c r="B191" s="87"/>
      <c r="C191" s="88"/>
      <c r="D191" s="88"/>
      <c r="E191" s="88"/>
      <c r="F191" s="88"/>
      <c r="G191" s="114"/>
    </row>
    <row r="192">
      <c r="B192" s="87"/>
      <c r="C192" s="88"/>
      <c r="D192" s="88"/>
      <c r="E192" s="88"/>
      <c r="F192" s="88"/>
      <c r="G192" s="114"/>
    </row>
    <row r="193">
      <c r="B193" s="87"/>
      <c r="C193" s="88"/>
      <c r="D193" s="88"/>
      <c r="E193" s="88"/>
      <c r="F193" s="88"/>
      <c r="G193" s="114"/>
    </row>
    <row r="194">
      <c r="B194" s="87"/>
      <c r="C194" s="88"/>
      <c r="D194" s="88"/>
      <c r="E194" s="88"/>
      <c r="F194" s="88"/>
      <c r="G194" s="114"/>
    </row>
    <row r="195">
      <c r="B195" s="87"/>
      <c r="C195" s="88"/>
      <c r="D195" s="88"/>
      <c r="E195" s="88"/>
      <c r="F195" s="88"/>
      <c r="G195" s="114"/>
    </row>
    <row r="196">
      <c r="B196" s="87"/>
      <c r="C196" s="88"/>
      <c r="D196" s="88"/>
      <c r="E196" s="88"/>
      <c r="F196" s="88"/>
      <c r="G196" s="114"/>
    </row>
    <row r="197">
      <c r="B197" s="87"/>
      <c r="C197" s="88"/>
      <c r="D197" s="88"/>
      <c r="E197" s="88"/>
      <c r="F197" s="88"/>
      <c r="G197" s="114"/>
    </row>
    <row r="198">
      <c r="B198" s="87"/>
      <c r="C198" s="88"/>
      <c r="D198" s="88"/>
      <c r="E198" s="88"/>
      <c r="F198" s="88"/>
      <c r="G198" s="114"/>
    </row>
    <row r="199">
      <c r="B199" s="87"/>
      <c r="C199" s="88"/>
      <c r="D199" s="88"/>
      <c r="E199" s="88"/>
      <c r="F199" s="88"/>
      <c r="G199" s="114"/>
    </row>
    <row r="200">
      <c r="B200" s="87"/>
      <c r="C200" s="88"/>
      <c r="D200" s="88"/>
      <c r="E200" s="88"/>
      <c r="F200" s="88"/>
      <c r="G200" s="114"/>
    </row>
    <row r="201">
      <c r="B201" s="87"/>
      <c r="C201" s="88"/>
      <c r="D201" s="88"/>
      <c r="E201" s="88"/>
      <c r="F201" s="88"/>
      <c r="G201" s="114"/>
    </row>
    <row r="202">
      <c r="B202" s="87"/>
      <c r="C202" s="88"/>
      <c r="D202" s="88"/>
      <c r="E202" s="88"/>
      <c r="F202" s="88"/>
      <c r="G202" s="114"/>
    </row>
    <row r="203">
      <c r="B203" s="87"/>
      <c r="C203" s="88"/>
      <c r="D203" s="88"/>
      <c r="E203" s="88"/>
      <c r="F203" s="88"/>
      <c r="G203" s="114"/>
    </row>
    <row r="204">
      <c r="B204" s="87"/>
      <c r="C204" s="88"/>
      <c r="D204" s="88"/>
      <c r="E204" s="88"/>
      <c r="F204" s="88"/>
      <c r="G204" s="114"/>
    </row>
    <row r="205">
      <c r="B205" s="87"/>
      <c r="C205" s="88"/>
      <c r="D205" s="88"/>
      <c r="E205" s="88"/>
      <c r="F205" s="88"/>
      <c r="G205" s="114"/>
    </row>
    <row r="206">
      <c r="B206" s="87"/>
      <c r="C206" s="88"/>
      <c r="D206" s="88"/>
      <c r="E206" s="88"/>
      <c r="F206" s="88"/>
      <c r="G206" s="114"/>
    </row>
    <row r="207">
      <c r="B207" s="87"/>
      <c r="C207" s="88"/>
      <c r="D207" s="88"/>
      <c r="E207" s="88"/>
      <c r="F207" s="88"/>
      <c r="G207" s="114"/>
    </row>
    <row r="208">
      <c r="B208" s="87"/>
      <c r="C208" s="88"/>
      <c r="D208" s="88"/>
      <c r="E208" s="88"/>
      <c r="F208" s="88"/>
      <c r="G208" s="114"/>
    </row>
    <row r="209">
      <c r="B209" s="87"/>
      <c r="C209" s="88"/>
      <c r="D209" s="88"/>
      <c r="E209" s="88"/>
      <c r="F209" s="88"/>
      <c r="G209" s="114"/>
    </row>
    <row r="210">
      <c r="B210" s="87"/>
      <c r="C210" s="88"/>
      <c r="D210" s="88"/>
      <c r="E210" s="88"/>
      <c r="F210" s="88"/>
      <c r="G210" s="114"/>
    </row>
    <row r="211">
      <c r="B211" s="87"/>
      <c r="C211" s="88"/>
      <c r="D211" s="88"/>
      <c r="E211" s="88"/>
      <c r="F211" s="88"/>
      <c r="G211" s="114"/>
    </row>
    <row r="212">
      <c r="B212" s="87"/>
      <c r="C212" s="88"/>
      <c r="D212" s="88"/>
      <c r="E212" s="88"/>
      <c r="F212" s="88"/>
      <c r="G212" s="114"/>
    </row>
    <row r="213">
      <c r="B213" s="87"/>
      <c r="C213" s="88"/>
      <c r="D213" s="88"/>
      <c r="E213" s="88"/>
      <c r="F213" s="88"/>
      <c r="G213" s="114"/>
    </row>
    <row r="214">
      <c r="B214" s="87"/>
      <c r="C214" s="88"/>
      <c r="D214" s="88"/>
      <c r="E214" s="88"/>
      <c r="F214" s="88"/>
      <c r="G214" s="114"/>
    </row>
    <row r="215">
      <c r="B215" s="87"/>
      <c r="C215" s="88"/>
      <c r="D215" s="88"/>
      <c r="E215" s="88"/>
      <c r="F215" s="88"/>
      <c r="G215" s="114"/>
    </row>
    <row r="216">
      <c r="B216" s="87"/>
      <c r="C216" s="88"/>
      <c r="D216" s="88"/>
      <c r="E216" s="88"/>
      <c r="F216" s="88"/>
      <c r="G216" s="114"/>
    </row>
    <row r="217">
      <c r="B217" s="87"/>
      <c r="C217" s="88"/>
      <c r="D217" s="88"/>
      <c r="E217" s="88"/>
      <c r="F217" s="88"/>
      <c r="G217" s="114"/>
    </row>
    <row r="218">
      <c r="B218" s="87"/>
      <c r="C218" s="88"/>
      <c r="D218" s="88"/>
      <c r="E218" s="88"/>
      <c r="F218" s="88"/>
      <c r="G218" s="114"/>
    </row>
    <row r="219">
      <c r="B219" s="87"/>
      <c r="C219" s="88"/>
      <c r="D219" s="88"/>
      <c r="E219" s="88"/>
      <c r="F219" s="88"/>
      <c r="G219" s="114"/>
    </row>
    <row r="220">
      <c r="B220" s="87"/>
      <c r="C220" s="88"/>
      <c r="D220" s="88"/>
      <c r="E220" s="88"/>
      <c r="F220" s="88"/>
      <c r="G220" s="114"/>
    </row>
    <row r="221">
      <c r="B221" s="87"/>
      <c r="C221" s="88"/>
      <c r="D221" s="88"/>
      <c r="E221" s="88"/>
      <c r="F221" s="88"/>
      <c r="G221" s="114"/>
    </row>
    <row r="222">
      <c r="B222" s="87"/>
      <c r="C222" s="88"/>
      <c r="D222" s="88"/>
      <c r="E222" s="88"/>
      <c r="F222" s="88"/>
      <c r="G222" s="114"/>
    </row>
    <row r="223">
      <c r="B223" s="87"/>
      <c r="C223" s="88"/>
      <c r="D223" s="88"/>
      <c r="E223" s="88"/>
      <c r="F223" s="88"/>
      <c r="G223" s="114"/>
    </row>
    <row r="224">
      <c r="B224" s="87"/>
      <c r="C224" s="88"/>
      <c r="D224" s="88"/>
      <c r="E224" s="88"/>
      <c r="F224" s="88"/>
      <c r="G224" s="114"/>
    </row>
    <row r="225">
      <c r="B225" s="87"/>
      <c r="C225" s="88"/>
      <c r="D225" s="88"/>
      <c r="E225" s="88"/>
      <c r="F225" s="88"/>
      <c r="G225" s="114"/>
    </row>
    <row r="226">
      <c r="B226" s="87"/>
      <c r="C226" s="88"/>
      <c r="D226" s="88"/>
      <c r="E226" s="88"/>
      <c r="F226" s="88"/>
      <c r="G226" s="114"/>
    </row>
    <row r="227">
      <c r="B227" s="87"/>
      <c r="C227" s="88"/>
      <c r="D227" s="88"/>
      <c r="E227" s="88"/>
      <c r="F227" s="88"/>
      <c r="G227" s="114"/>
    </row>
    <row r="228">
      <c r="B228" s="87"/>
      <c r="C228" s="88"/>
      <c r="D228" s="88"/>
      <c r="E228" s="88"/>
      <c r="F228" s="88"/>
      <c r="G228" s="114"/>
    </row>
    <row r="229">
      <c r="B229" s="87"/>
      <c r="C229" s="88"/>
      <c r="D229" s="88"/>
      <c r="E229" s="88"/>
      <c r="F229" s="88"/>
      <c r="G229" s="114"/>
    </row>
    <row r="230">
      <c r="B230" s="87"/>
      <c r="C230" s="88"/>
      <c r="D230" s="88"/>
      <c r="E230" s="88"/>
      <c r="F230" s="88"/>
      <c r="G230" s="114"/>
    </row>
    <row r="231">
      <c r="B231" s="87"/>
      <c r="C231" s="88"/>
      <c r="D231" s="88"/>
      <c r="E231" s="88"/>
      <c r="F231" s="88"/>
      <c r="G231" s="114"/>
    </row>
    <row r="232">
      <c r="B232" s="87"/>
      <c r="C232" s="88"/>
      <c r="D232" s="88"/>
      <c r="E232" s="88"/>
      <c r="F232" s="88"/>
      <c r="G232" s="114"/>
    </row>
    <row r="233">
      <c r="B233" s="87"/>
      <c r="C233" s="88"/>
      <c r="D233" s="88"/>
      <c r="E233" s="88"/>
      <c r="F233" s="88"/>
      <c r="G233" s="114"/>
    </row>
    <row r="234">
      <c r="B234" s="87"/>
      <c r="C234" s="88"/>
      <c r="D234" s="88"/>
      <c r="E234" s="88"/>
      <c r="F234" s="88"/>
      <c r="G234" s="114"/>
    </row>
    <row r="235">
      <c r="B235" s="87"/>
      <c r="C235" s="88"/>
      <c r="D235" s="88"/>
      <c r="E235" s="88"/>
      <c r="F235" s="88"/>
      <c r="G235" s="114"/>
    </row>
    <row r="236">
      <c r="B236" s="87"/>
      <c r="C236" s="88"/>
      <c r="D236" s="88"/>
      <c r="E236" s="88"/>
      <c r="F236" s="88"/>
      <c r="G236" s="114"/>
    </row>
    <row r="237">
      <c r="B237" s="87"/>
      <c r="C237" s="88"/>
      <c r="D237" s="88"/>
      <c r="E237" s="88"/>
      <c r="F237" s="88"/>
      <c r="G237" s="114"/>
    </row>
    <row r="238">
      <c r="B238" s="87"/>
      <c r="C238" s="88"/>
      <c r="D238" s="88"/>
      <c r="E238" s="88"/>
      <c r="F238" s="88"/>
      <c r="G238" s="114"/>
    </row>
    <row r="239">
      <c r="B239" s="87"/>
      <c r="C239" s="88"/>
      <c r="D239" s="88"/>
      <c r="E239" s="88"/>
      <c r="F239" s="88"/>
      <c r="G239" s="114"/>
    </row>
    <row r="240">
      <c r="B240" s="87"/>
      <c r="C240" s="88"/>
      <c r="D240" s="88"/>
      <c r="E240" s="88"/>
      <c r="F240" s="88"/>
      <c r="G240" s="114"/>
    </row>
    <row r="241">
      <c r="B241" s="87"/>
      <c r="C241" s="88"/>
      <c r="D241" s="88"/>
      <c r="E241" s="88"/>
      <c r="F241" s="88"/>
      <c r="G241" s="114"/>
    </row>
    <row r="242">
      <c r="B242" s="87"/>
      <c r="C242" s="88"/>
      <c r="D242" s="88"/>
      <c r="E242" s="88"/>
      <c r="F242" s="88"/>
      <c r="G242" s="114"/>
    </row>
    <row r="243">
      <c r="B243" s="87"/>
      <c r="C243" s="88"/>
      <c r="D243" s="88"/>
      <c r="E243" s="88"/>
      <c r="F243" s="88"/>
      <c r="G243" s="114"/>
    </row>
    <row r="244">
      <c r="B244" s="87"/>
      <c r="C244" s="88"/>
      <c r="D244" s="88"/>
      <c r="E244" s="88"/>
      <c r="F244" s="88"/>
      <c r="G244" s="114"/>
    </row>
    <row r="245">
      <c r="B245" s="87"/>
      <c r="C245" s="88"/>
      <c r="D245" s="88"/>
      <c r="E245" s="88"/>
      <c r="F245" s="88"/>
      <c r="G245" s="114"/>
    </row>
    <row r="246">
      <c r="B246" s="87"/>
      <c r="C246" s="88"/>
      <c r="D246" s="88"/>
      <c r="E246" s="88"/>
      <c r="F246" s="88"/>
      <c r="G246" s="114"/>
    </row>
    <row r="247">
      <c r="B247" s="87"/>
      <c r="C247" s="88"/>
      <c r="D247" s="88"/>
      <c r="E247" s="88"/>
      <c r="F247" s="88"/>
      <c r="G247" s="114"/>
    </row>
    <row r="248">
      <c r="B248" s="87"/>
      <c r="C248" s="88"/>
      <c r="D248" s="88"/>
      <c r="E248" s="88"/>
      <c r="F248" s="88"/>
      <c r="G248" s="114"/>
    </row>
    <row r="249">
      <c r="B249" s="87"/>
      <c r="C249" s="88"/>
      <c r="D249" s="88"/>
      <c r="E249" s="88"/>
      <c r="F249" s="88"/>
      <c r="G249" s="114"/>
    </row>
    <row r="250">
      <c r="B250" s="87"/>
      <c r="C250" s="88"/>
      <c r="D250" s="88"/>
      <c r="E250" s="88"/>
      <c r="F250" s="88"/>
      <c r="G250" s="114"/>
    </row>
    <row r="251">
      <c r="B251" s="87"/>
      <c r="C251" s="88"/>
      <c r="D251" s="88"/>
      <c r="E251" s="88"/>
      <c r="F251" s="88"/>
      <c r="G251" s="114"/>
    </row>
    <row r="252">
      <c r="B252" s="87"/>
      <c r="C252" s="88"/>
      <c r="D252" s="88"/>
      <c r="E252" s="88"/>
      <c r="F252" s="88"/>
      <c r="G252" s="114"/>
    </row>
    <row r="253">
      <c r="B253" s="87"/>
      <c r="C253" s="88"/>
      <c r="D253" s="88"/>
      <c r="E253" s="88"/>
      <c r="F253" s="88"/>
      <c r="G253" s="114"/>
    </row>
    <row r="254">
      <c r="B254" s="87"/>
      <c r="C254" s="88"/>
      <c r="D254" s="88"/>
      <c r="E254" s="88"/>
      <c r="F254" s="88"/>
      <c r="G254" s="114"/>
    </row>
    <row r="255">
      <c r="B255" s="87"/>
      <c r="C255" s="88"/>
      <c r="D255" s="88"/>
      <c r="E255" s="88"/>
      <c r="F255" s="88"/>
      <c r="G255" s="114"/>
    </row>
    <row r="256">
      <c r="B256" s="87"/>
      <c r="C256" s="88"/>
      <c r="D256" s="88"/>
      <c r="E256" s="88"/>
      <c r="F256" s="88"/>
      <c r="G256" s="114"/>
    </row>
    <row r="257">
      <c r="B257" s="87"/>
      <c r="C257" s="88"/>
      <c r="D257" s="88"/>
      <c r="E257" s="88"/>
      <c r="F257" s="88"/>
      <c r="G257" s="114"/>
    </row>
    <row r="258">
      <c r="B258" s="87"/>
      <c r="C258" s="88"/>
      <c r="D258" s="88"/>
      <c r="E258" s="88"/>
      <c r="F258" s="88"/>
      <c r="G258" s="114"/>
    </row>
    <row r="259">
      <c r="B259" s="87"/>
      <c r="C259" s="88"/>
      <c r="D259" s="88"/>
      <c r="E259" s="88"/>
      <c r="F259" s="88"/>
      <c r="G259" s="114"/>
    </row>
    <row r="260">
      <c r="B260" s="87"/>
      <c r="C260" s="88"/>
      <c r="D260" s="88"/>
      <c r="E260" s="88"/>
      <c r="F260" s="88"/>
      <c r="G260" s="114"/>
    </row>
    <row r="261">
      <c r="B261" s="87"/>
      <c r="C261" s="88"/>
      <c r="D261" s="88"/>
      <c r="E261" s="88"/>
      <c r="F261" s="88"/>
      <c r="G261" s="114"/>
    </row>
    <row r="262">
      <c r="B262" s="87"/>
      <c r="C262" s="88"/>
      <c r="D262" s="88"/>
      <c r="E262" s="88"/>
      <c r="F262" s="88"/>
      <c r="G262" s="114"/>
    </row>
    <row r="263">
      <c r="B263" s="87"/>
      <c r="C263" s="88"/>
      <c r="D263" s="88"/>
      <c r="E263" s="88"/>
      <c r="F263" s="88"/>
      <c r="G263" s="114"/>
    </row>
    <row r="264">
      <c r="B264" s="87"/>
      <c r="C264" s="88"/>
      <c r="D264" s="88"/>
      <c r="E264" s="88"/>
      <c r="F264" s="88"/>
      <c r="G264" s="114"/>
    </row>
    <row r="265">
      <c r="B265" s="87"/>
      <c r="C265" s="88"/>
      <c r="D265" s="88"/>
      <c r="E265" s="88"/>
      <c r="F265" s="88"/>
      <c r="G265" s="114"/>
    </row>
    <row r="266">
      <c r="B266" s="87"/>
      <c r="C266" s="88"/>
      <c r="D266" s="88"/>
      <c r="E266" s="88"/>
      <c r="F266" s="88"/>
      <c r="G266" s="114"/>
    </row>
    <row r="267">
      <c r="B267" s="87"/>
      <c r="C267" s="88"/>
      <c r="D267" s="88"/>
      <c r="E267" s="88"/>
      <c r="F267" s="88"/>
      <c r="G267" s="114"/>
    </row>
    <row r="268">
      <c r="B268" s="87"/>
      <c r="C268" s="88"/>
      <c r="D268" s="88"/>
      <c r="E268" s="88"/>
      <c r="F268" s="88"/>
      <c r="G268" s="114"/>
    </row>
    <row r="269">
      <c r="B269" s="87"/>
      <c r="C269" s="88"/>
      <c r="D269" s="88"/>
      <c r="E269" s="88"/>
      <c r="F269" s="88"/>
      <c r="G269" s="114"/>
    </row>
    <row r="270">
      <c r="B270" s="87"/>
      <c r="C270" s="88"/>
      <c r="D270" s="88"/>
      <c r="E270" s="88"/>
      <c r="F270" s="88"/>
      <c r="G270" s="114"/>
    </row>
    <row r="271">
      <c r="B271" s="87"/>
      <c r="C271" s="88"/>
      <c r="D271" s="88"/>
      <c r="E271" s="88"/>
      <c r="F271" s="88"/>
      <c r="G271" s="114"/>
    </row>
    <row r="272">
      <c r="B272" s="87"/>
      <c r="C272" s="88"/>
      <c r="D272" s="88"/>
      <c r="E272" s="88"/>
      <c r="F272" s="88"/>
      <c r="G272" s="114"/>
    </row>
    <row r="273">
      <c r="B273" s="87"/>
      <c r="C273" s="88"/>
      <c r="D273" s="88"/>
      <c r="E273" s="88"/>
      <c r="F273" s="88"/>
      <c r="G273" s="114"/>
    </row>
    <row r="274">
      <c r="B274" s="87"/>
      <c r="C274" s="88"/>
      <c r="D274" s="88"/>
      <c r="E274" s="88"/>
      <c r="F274" s="88"/>
      <c r="G274" s="114"/>
    </row>
    <row r="275">
      <c r="B275" s="87"/>
      <c r="C275" s="88"/>
      <c r="D275" s="88"/>
      <c r="E275" s="88"/>
      <c r="F275" s="88"/>
      <c r="G275" s="114"/>
    </row>
    <row r="276">
      <c r="B276" s="87"/>
      <c r="C276" s="88"/>
      <c r="D276" s="88"/>
      <c r="E276" s="88"/>
      <c r="F276" s="88"/>
      <c r="G276" s="114"/>
    </row>
    <row r="277">
      <c r="B277" s="87"/>
      <c r="C277" s="88"/>
      <c r="D277" s="88"/>
      <c r="E277" s="88"/>
      <c r="F277" s="88"/>
      <c r="G277" s="114"/>
    </row>
    <row r="278">
      <c r="B278" s="87"/>
      <c r="C278" s="88"/>
      <c r="D278" s="88"/>
      <c r="E278" s="88"/>
      <c r="F278" s="88"/>
      <c r="G278" s="114"/>
    </row>
    <row r="279">
      <c r="B279" s="87"/>
      <c r="C279" s="88"/>
      <c r="D279" s="88"/>
      <c r="E279" s="88"/>
      <c r="F279" s="88"/>
      <c r="G279" s="114"/>
    </row>
    <row r="280">
      <c r="B280" s="87"/>
      <c r="C280" s="88"/>
      <c r="D280" s="88"/>
      <c r="E280" s="88"/>
      <c r="F280" s="88"/>
      <c r="G280" s="114"/>
    </row>
    <row r="281">
      <c r="B281" s="87"/>
      <c r="C281" s="88"/>
      <c r="D281" s="88"/>
      <c r="E281" s="88"/>
      <c r="F281" s="88"/>
      <c r="G281" s="114"/>
    </row>
    <row r="282">
      <c r="B282" s="87"/>
      <c r="C282" s="88"/>
      <c r="D282" s="88"/>
      <c r="E282" s="88"/>
      <c r="F282" s="88"/>
      <c r="G282" s="114"/>
    </row>
    <row r="283">
      <c r="B283" s="87"/>
      <c r="C283" s="88"/>
      <c r="D283" s="88"/>
      <c r="E283" s="88"/>
      <c r="F283" s="88"/>
      <c r="G283" s="114"/>
    </row>
    <row r="284">
      <c r="B284" s="87"/>
      <c r="C284" s="88"/>
      <c r="D284" s="88"/>
      <c r="E284" s="88"/>
      <c r="F284" s="88"/>
      <c r="G284" s="114"/>
    </row>
    <row r="285">
      <c r="B285" s="87"/>
      <c r="C285" s="88"/>
      <c r="D285" s="88"/>
      <c r="E285" s="88"/>
      <c r="F285" s="88"/>
      <c r="G285" s="114"/>
    </row>
    <row r="286">
      <c r="B286" s="87"/>
      <c r="C286" s="88"/>
      <c r="D286" s="88"/>
      <c r="E286" s="88"/>
      <c r="F286" s="88"/>
      <c r="G286" s="114"/>
    </row>
    <row r="287">
      <c r="B287" s="87"/>
      <c r="C287" s="88"/>
      <c r="D287" s="88"/>
      <c r="E287" s="88"/>
      <c r="F287" s="88"/>
      <c r="G287" s="114"/>
    </row>
    <row r="288">
      <c r="B288" s="87"/>
      <c r="C288" s="88"/>
      <c r="D288" s="88"/>
      <c r="E288" s="88"/>
      <c r="F288" s="88"/>
      <c r="G288" s="114"/>
    </row>
    <row r="289">
      <c r="B289" s="87"/>
      <c r="C289" s="88"/>
      <c r="D289" s="88"/>
      <c r="E289" s="88"/>
      <c r="F289" s="88"/>
      <c r="G289" s="114"/>
    </row>
    <row r="290">
      <c r="B290" s="87"/>
      <c r="C290" s="88"/>
      <c r="D290" s="88"/>
      <c r="E290" s="88"/>
      <c r="F290" s="88"/>
      <c r="G290" s="114"/>
    </row>
    <row r="291">
      <c r="B291" s="87"/>
      <c r="C291" s="88"/>
      <c r="D291" s="88"/>
      <c r="E291" s="88"/>
      <c r="F291" s="88"/>
      <c r="G291" s="114"/>
    </row>
    <row r="292">
      <c r="B292" s="87"/>
      <c r="C292" s="88"/>
      <c r="D292" s="88"/>
      <c r="E292" s="88"/>
      <c r="F292" s="88"/>
      <c r="G292" s="114"/>
    </row>
    <row r="293">
      <c r="B293" s="87"/>
      <c r="C293" s="88"/>
      <c r="D293" s="88"/>
      <c r="E293" s="88"/>
      <c r="F293" s="88"/>
      <c r="G293" s="114"/>
    </row>
    <row r="294">
      <c r="B294" s="87"/>
      <c r="C294" s="88"/>
      <c r="D294" s="88"/>
      <c r="E294" s="88"/>
      <c r="F294" s="88"/>
      <c r="G294" s="114"/>
    </row>
    <row r="295">
      <c r="B295" s="87"/>
      <c r="C295" s="88"/>
      <c r="D295" s="88"/>
      <c r="E295" s="88"/>
      <c r="F295" s="88"/>
      <c r="G295" s="114"/>
    </row>
    <row r="296">
      <c r="B296" s="87"/>
      <c r="C296" s="88"/>
      <c r="D296" s="88"/>
      <c r="E296" s="88"/>
      <c r="F296" s="88"/>
      <c r="G296" s="114"/>
    </row>
    <row r="297">
      <c r="B297" s="87"/>
      <c r="C297" s="88"/>
      <c r="D297" s="88"/>
      <c r="E297" s="88"/>
      <c r="F297" s="88"/>
      <c r="G297" s="114"/>
    </row>
    <row r="298">
      <c r="B298" s="87"/>
      <c r="C298" s="88"/>
      <c r="D298" s="88"/>
      <c r="E298" s="88"/>
      <c r="F298" s="88"/>
      <c r="G298" s="114"/>
    </row>
    <row r="299">
      <c r="B299" s="87"/>
      <c r="C299" s="88"/>
      <c r="D299" s="88"/>
      <c r="E299" s="88"/>
      <c r="F299" s="88"/>
      <c r="G299" s="114"/>
    </row>
    <row r="300">
      <c r="B300" s="87"/>
      <c r="C300" s="88"/>
      <c r="D300" s="88"/>
      <c r="E300" s="88"/>
      <c r="F300" s="88"/>
      <c r="G300" s="114"/>
    </row>
    <row r="301">
      <c r="B301" s="87"/>
      <c r="C301" s="88"/>
      <c r="D301" s="88"/>
      <c r="E301" s="88"/>
      <c r="F301" s="88"/>
      <c r="G301" s="114"/>
    </row>
    <row r="302">
      <c r="B302" s="87"/>
      <c r="C302" s="88"/>
      <c r="D302" s="88"/>
      <c r="E302" s="88"/>
      <c r="F302" s="88"/>
      <c r="G302" s="114"/>
    </row>
    <row r="303">
      <c r="B303" s="87"/>
      <c r="C303" s="88"/>
      <c r="D303" s="88"/>
      <c r="E303" s="88"/>
      <c r="F303" s="88"/>
      <c r="G303" s="114"/>
    </row>
    <row r="304">
      <c r="B304" s="87"/>
      <c r="C304" s="88"/>
      <c r="D304" s="88"/>
      <c r="E304" s="88"/>
      <c r="F304" s="88"/>
      <c r="G304" s="114"/>
    </row>
    <row r="305">
      <c r="B305" s="87"/>
      <c r="C305" s="88"/>
      <c r="D305" s="88"/>
      <c r="E305" s="88"/>
      <c r="F305" s="88"/>
      <c r="G305" s="114"/>
    </row>
    <row r="306">
      <c r="B306" s="87"/>
      <c r="C306" s="88"/>
      <c r="D306" s="88"/>
      <c r="E306" s="88"/>
      <c r="F306" s="88"/>
      <c r="G306" s="114"/>
    </row>
    <row r="307">
      <c r="B307" s="87"/>
      <c r="C307" s="88"/>
      <c r="D307" s="88"/>
      <c r="E307" s="88"/>
      <c r="F307" s="88"/>
      <c r="G307" s="114"/>
    </row>
    <row r="308">
      <c r="B308" s="87"/>
      <c r="C308" s="88"/>
      <c r="D308" s="88"/>
      <c r="E308" s="88"/>
      <c r="F308" s="88"/>
      <c r="G308" s="114"/>
    </row>
    <row r="309">
      <c r="B309" s="87"/>
      <c r="C309" s="88"/>
      <c r="D309" s="88"/>
      <c r="E309" s="88"/>
      <c r="F309" s="88"/>
      <c r="G309" s="114"/>
    </row>
    <row r="310">
      <c r="B310" s="87"/>
      <c r="C310" s="88"/>
      <c r="D310" s="88"/>
      <c r="E310" s="88"/>
      <c r="F310" s="88"/>
      <c r="G310" s="114"/>
    </row>
    <row r="311">
      <c r="B311" s="87"/>
      <c r="C311" s="88"/>
      <c r="D311" s="88"/>
      <c r="E311" s="88"/>
      <c r="F311" s="88"/>
      <c r="G311" s="114"/>
    </row>
    <row r="312">
      <c r="B312" s="87"/>
      <c r="C312" s="88"/>
      <c r="D312" s="88"/>
      <c r="E312" s="88"/>
      <c r="F312" s="88"/>
      <c r="G312" s="114"/>
    </row>
    <row r="313">
      <c r="B313" s="87"/>
      <c r="C313" s="88"/>
      <c r="D313" s="88"/>
      <c r="E313" s="88"/>
      <c r="F313" s="88"/>
      <c r="G313" s="114"/>
    </row>
    <row r="314">
      <c r="B314" s="87"/>
      <c r="C314" s="88"/>
      <c r="D314" s="88"/>
      <c r="E314" s="88"/>
      <c r="F314" s="88"/>
      <c r="G314" s="114"/>
    </row>
    <row r="315">
      <c r="B315" s="87"/>
      <c r="C315" s="88"/>
      <c r="D315" s="88"/>
      <c r="E315" s="88"/>
      <c r="F315" s="88"/>
      <c r="G315" s="114"/>
    </row>
    <row r="316">
      <c r="B316" s="87"/>
      <c r="C316" s="88"/>
      <c r="D316" s="88"/>
      <c r="E316" s="88"/>
      <c r="F316" s="88"/>
      <c r="G316" s="114"/>
    </row>
    <row r="317">
      <c r="B317" s="87"/>
      <c r="C317" s="88"/>
      <c r="D317" s="88"/>
      <c r="E317" s="88"/>
      <c r="F317" s="88"/>
      <c r="G317" s="114"/>
    </row>
    <row r="318">
      <c r="B318" s="87"/>
      <c r="C318" s="88"/>
      <c r="D318" s="88"/>
      <c r="E318" s="88"/>
      <c r="F318" s="88"/>
      <c r="G318" s="114"/>
    </row>
    <row r="319">
      <c r="B319" s="87"/>
      <c r="C319" s="88"/>
      <c r="D319" s="88"/>
      <c r="E319" s="88"/>
      <c r="F319" s="88"/>
      <c r="G319" s="114"/>
    </row>
    <row r="320">
      <c r="B320" s="87"/>
      <c r="C320" s="88"/>
      <c r="D320" s="88"/>
      <c r="E320" s="88"/>
      <c r="F320" s="88"/>
      <c r="G320" s="114"/>
    </row>
    <row r="321">
      <c r="B321" s="87"/>
      <c r="C321" s="88"/>
      <c r="D321" s="88"/>
      <c r="E321" s="88"/>
      <c r="F321" s="88"/>
      <c r="G321" s="114"/>
    </row>
    <row r="322">
      <c r="B322" s="87"/>
      <c r="C322" s="88"/>
      <c r="D322" s="88"/>
      <c r="E322" s="88"/>
      <c r="F322" s="88"/>
      <c r="G322" s="114"/>
    </row>
    <row r="323">
      <c r="B323" s="87"/>
      <c r="C323" s="88"/>
      <c r="D323" s="88"/>
      <c r="E323" s="88"/>
      <c r="F323" s="88"/>
      <c r="G323" s="114"/>
    </row>
    <row r="324">
      <c r="B324" s="87"/>
      <c r="C324" s="88"/>
      <c r="D324" s="88"/>
      <c r="E324" s="88"/>
      <c r="F324" s="88"/>
      <c r="G324" s="114"/>
    </row>
    <row r="325">
      <c r="B325" s="87"/>
      <c r="C325" s="88"/>
      <c r="D325" s="88"/>
      <c r="E325" s="88"/>
      <c r="F325" s="88"/>
      <c r="G325" s="114"/>
    </row>
    <row r="326">
      <c r="B326" s="87"/>
      <c r="C326" s="88"/>
      <c r="D326" s="88"/>
      <c r="E326" s="88"/>
      <c r="F326" s="88"/>
      <c r="G326" s="114"/>
    </row>
    <row r="327">
      <c r="B327" s="87"/>
      <c r="C327" s="88"/>
      <c r="D327" s="88"/>
      <c r="E327" s="88"/>
      <c r="F327" s="88"/>
      <c r="G327" s="114"/>
    </row>
    <row r="328">
      <c r="B328" s="87"/>
      <c r="C328" s="88"/>
      <c r="D328" s="88"/>
      <c r="E328" s="88"/>
      <c r="F328" s="88"/>
      <c r="G328" s="114"/>
    </row>
    <row r="329">
      <c r="B329" s="87"/>
      <c r="C329" s="88"/>
      <c r="D329" s="88"/>
      <c r="E329" s="88"/>
      <c r="F329" s="88"/>
      <c r="G329" s="114"/>
    </row>
    <row r="330">
      <c r="B330" s="87"/>
      <c r="C330" s="88"/>
      <c r="D330" s="88"/>
      <c r="E330" s="88"/>
      <c r="F330" s="88"/>
      <c r="G330" s="114"/>
    </row>
    <row r="331">
      <c r="B331" s="87"/>
      <c r="C331" s="88"/>
      <c r="D331" s="88"/>
      <c r="E331" s="88"/>
      <c r="F331" s="88"/>
      <c r="G331" s="114"/>
    </row>
    <row r="332">
      <c r="B332" s="87"/>
      <c r="C332" s="88"/>
      <c r="D332" s="88"/>
      <c r="E332" s="88"/>
      <c r="F332" s="88"/>
      <c r="G332" s="114"/>
    </row>
    <row r="333">
      <c r="B333" s="87"/>
      <c r="C333" s="88"/>
      <c r="D333" s="88"/>
      <c r="E333" s="88"/>
      <c r="F333" s="88"/>
      <c r="G333" s="114"/>
    </row>
    <row r="334">
      <c r="B334" s="87"/>
      <c r="C334" s="88"/>
      <c r="D334" s="88"/>
      <c r="E334" s="88"/>
      <c r="F334" s="88"/>
      <c r="G334" s="114"/>
    </row>
    <row r="335">
      <c r="B335" s="87"/>
      <c r="C335" s="88"/>
      <c r="D335" s="88"/>
      <c r="E335" s="88"/>
      <c r="F335" s="88"/>
      <c r="G335" s="114"/>
    </row>
    <row r="336">
      <c r="B336" s="87"/>
      <c r="C336" s="88"/>
      <c r="D336" s="88"/>
      <c r="E336" s="88"/>
      <c r="F336" s="88"/>
      <c r="G336" s="114"/>
    </row>
    <row r="337">
      <c r="B337" s="87"/>
      <c r="C337" s="88"/>
      <c r="D337" s="88"/>
      <c r="E337" s="88"/>
      <c r="F337" s="88"/>
      <c r="G337" s="114"/>
    </row>
    <row r="338">
      <c r="B338" s="87"/>
      <c r="C338" s="88"/>
      <c r="D338" s="88"/>
      <c r="E338" s="88"/>
      <c r="F338" s="88"/>
      <c r="G338" s="114"/>
    </row>
    <row r="339">
      <c r="B339" s="87"/>
      <c r="C339" s="88"/>
      <c r="D339" s="88"/>
      <c r="E339" s="88"/>
      <c r="F339" s="88"/>
      <c r="G339" s="114"/>
    </row>
    <row r="340">
      <c r="B340" s="87"/>
      <c r="C340" s="88"/>
      <c r="D340" s="88"/>
      <c r="E340" s="88"/>
      <c r="F340" s="88"/>
      <c r="G340" s="114"/>
    </row>
    <row r="341">
      <c r="B341" s="87"/>
      <c r="C341" s="88"/>
      <c r="D341" s="88"/>
      <c r="E341" s="88"/>
      <c r="F341" s="88"/>
      <c r="G341" s="114"/>
    </row>
    <row r="342">
      <c r="B342" s="87"/>
      <c r="C342" s="88"/>
      <c r="D342" s="88"/>
      <c r="E342" s="88"/>
      <c r="F342" s="88"/>
      <c r="G342" s="114"/>
    </row>
    <row r="343">
      <c r="B343" s="87"/>
      <c r="C343" s="88"/>
      <c r="D343" s="88"/>
      <c r="E343" s="88"/>
      <c r="F343" s="88"/>
      <c r="G343" s="114"/>
    </row>
    <row r="344">
      <c r="B344" s="87"/>
      <c r="C344" s="88"/>
      <c r="D344" s="88"/>
      <c r="E344" s="88"/>
      <c r="F344" s="88"/>
      <c r="G344" s="114"/>
    </row>
    <row r="345">
      <c r="B345" s="87"/>
      <c r="C345" s="88"/>
      <c r="D345" s="88"/>
      <c r="E345" s="88"/>
      <c r="F345" s="88"/>
      <c r="G345" s="114"/>
    </row>
    <row r="346">
      <c r="B346" s="87"/>
      <c r="C346" s="88"/>
      <c r="D346" s="88"/>
      <c r="E346" s="88"/>
      <c r="F346" s="88"/>
      <c r="G346" s="114"/>
    </row>
    <row r="347">
      <c r="B347" s="87"/>
      <c r="C347" s="88"/>
      <c r="D347" s="88"/>
      <c r="E347" s="88"/>
      <c r="F347" s="88"/>
      <c r="G347" s="114"/>
    </row>
    <row r="348">
      <c r="B348" s="87"/>
      <c r="C348" s="88"/>
      <c r="D348" s="88"/>
      <c r="E348" s="88"/>
      <c r="F348" s="88"/>
      <c r="G348" s="114"/>
    </row>
    <row r="349">
      <c r="B349" s="87"/>
      <c r="C349" s="88"/>
      <c r="D349" s="88"/>
      <c r="E349" s="88"/>
      <c r="F349" s="88"/>
      <c r="G349" s="114"/>
    </row>
    <row r="350">
      <c r="B350" s="87"/>
      <c r="C350" s="88"/>
      <c r="D350" s="88"/>
      <c r="E350" s="88"/>
      <c r="F350" s="88"/>
      <c r="G350" s="114"/>
    </row>
    <row r="351">
      <c r="B351" s="87"/>
      <c r="C351" s="88"/>
      <c r="D351" s="88"/>
      <c r="E351" s="88"/>
      <c r="F351" s="88"/>
      <c r="G351" s="114"/>
    </row>
    <row r="352">
      <c r="B352" s="87"/>
      <c r="C352" s="88"/>
      <c r="D352" s="88"/>
      <c r="E352" s="88"/>
      <c r="F352" s="88"/>
      <c r="G352" s="114"/>
    </row>
    <row r="353">
      <c r="B353" s="87"/>
      <c r="C353" s="88"/>
      <c r="D353" s="88"/>
      <c r="E353" s="88"/>
      <c r="F353" s="88"/>
      <c r="G353" s="114"/>
    </row>
    <row r="354">
      <c r="B354" s="87"/>
      <c r="C354" s="88"/>
      <c r="D354" s="88"/>
      <c r="E354" s="88"/>
      <c r="F354" s="88"/>
      <c r="G354" s="114"/>
    </row>
    <row r="355">
      <c r="B355" s="87"/>
      <c r="C355" s="88"/>
      <c r="D355" s="88"/>
      <c r="E355" s="88"/>
      <c r="F355" s="88"/>
      <c r="G355" s="114"/>
    </row>
    <row r="356">
      <c r="B356" s="87"/>
      <c r="C356" s="88"/>
      <c r="D356" s="88"/>
      <c r="E356" s="88"/>
      <c r="F356" s="88"/>
      <c r="G356" s="114"/>
    </row>
    <row r="357">
      <c r="B357" s="87"/>
      <c r="C357" s="88"/>
      <c r="D357" s="88"/>
      <c r="E357" s="88"/>
      <c r="F357" s="88"/>
      <c r="G357" s="114"/>
    </row>
    <row r="358">
      <c r="B358" s="87"/>
      <c r="C358" s="88"/>
      <c r="D358" s="88"/>
      <c r="E358" s="88"/>
      <c r="F358" s="88"/>
      <c r="G358" s="114"/>
    </row>
    <row r="359">
      <c r="B359" s="87"/>
      <c r="C359" s="88"/>
      <c r="D359" s="88"/>
      <c r="E359" s="88"/>
      <c r="F359" s="88"/>
      <c r="G359" s="114"/>
    </row>
    <row r="360">
      <c r="B360" s="87"/>
      <c r="C360" s="88"/>
      <c r="D360" s="88"/>
      <c r="E360" s="88"/>
      <c r="F360" s="88"/>
      <c r="G360" s="114"/>
    </row>
    <row r="361">
      <c r="B361" s="87"/>
      <c r="C361" s="88"/>
      <c r="D361" s="88"/>
      <c r="E361" s="88"/>
      <c r="F361" s="88"/>
      <c r="G361" s="114"/>
    </row>
    <row r="362">
      <c r="B362" s="87"/>
      <c r="C362" s="88"/>
      <c r="D362" s="88"/>
      <c r="E362" s="88"/>
      <c r="F362" s="88"/>
      <c r="G362" s="114"/>
    </row>
    <row r="363">
      <c r="B363" s="87"/>
      <c r="C363" s="88"/>
      <c r="D363" s="88"/>
      <c r="E363" s="88"/>
      <c r="F363" s="88"/>
      <c r="G363" s="114"/>
    </row>
    <row r="364">
      <c r="B364" s="87"/>
      <c r="C364" s="88"/>
      <c r="D364" s="88"/>
      <c r="E364" s="88"/>
      <c r="F364" s="88"/>
      <c r="G364" s="114"/>
    </row>
    <row r="365">
      <c r="B365" s="87"/>
      <c r="C365" s="88"/>
      <c r="D365" s="88"/>
      <c r="E365" s="88"/>
      <c r="F365" s="88"/>
      <c r="G365" s="114"/>
    </row>
    <row r="366">
      <c r="B366" s="87"/>
      <c r="C366" s="88"/>
      <c r="D366" s="88"/>
      <c r="E366" s="88"/>
      <c r="F366" s="88"/>
      <c r="G366" s="114"/>
    </row>
    <row r="367">
      <c r="B367" s="87"/>
      <c r="C367" s="88"/>
      <c r="D367" s="88"/>
      <c r="E367" s="88"/>
      <c r="F367" s="88"/>
      <c r="G367" s="114"/>
    </row>
    <row r="368">
      <c r="B368" s="87"/>
      <c r="C368" s="88"/>
      <c r="D368" s="88"/>
      <c r="E368" s="88"/>
      <c r="F368" s="88"/>
      <c r="G368" s="114"/>
    </row>
    <row r="369">
      <c r="B369" s="87"/>
      <c r="C369" s="88"/>
      <c r="D369" s="88"/>
      <c r="E369" s="88"/>
      <c r="F369" s="88"/>
      <c r="G369" s="114"/>
    </row>
    <row r="370">
      <c r="B370" s="87"/>
      <c r="C370" s="88"/>
      <c r="D370" s="88"/>
      <c r="E370" s="88"/>
      <c r="F370" s="88"/>
      <c r="G370" s="114"/>
    </row>
    <row r="371">
      <c r="B371" s="87"/>
      <c r="C371" s="88"/>
      <c r="D371" s="88"/>
      <c r="E371" s="88"/>
      <c r="F371" s="88"/>
      <c r="G371" s="114"/>
    </row>
    <row r="372">
      <c r="B372" s="87"/>
      <c r="C372" s="88"/>
      <c r="D372" s="88"/>
      <c r="E372" s="88"/>
      <c r="F372" s="88"/>
      <c r="G372" s="114"/>
    </row>
    <row r="373">
      <c r="B373" s="87"/>
      <c r="C373" s="88"/>
      <c r="D373" s="88"/>
      <c r="E373" s="88"/>
      <c r="F373" s="88"/>
      <c r="G373" s="114"/>
    </row>
    <row r="374">
      <c r="B374" s="87"/>
      <c r="C374" s="88"/>
      <c r="D374" s="88"/>
      <c r="E374" s="88"/>
      <c r="F374" s="88"/>
      <c r="G374" s="114"/>
    </row>
    <row r="375">
      <c r="B375" s="87"/>
      <c r="C375" s="88"/>
      <c r="D375" s="88"/>
      <c r="E375" s="88"/>
      <c r="F375" s="88"/>
      <c r="G375" s="114"/>
    </row>
    <row r="376">
      <c r="B376" s="87"/>
      <c r="C376" s="88"/>
      <c r="D376" s="88"/>
      <c r="E376" s="88"/>
      <c r="F376" s="88"/>
      <c r="G376" s="114"/>
    </row>
    <row r="377">
      <c r="B377" s="87"/>
      <c r="C377" s="88"/>
      <c r="D377" s="88"/>
      <c r="E377" s="88"/>
      <c r="F377" s="88"/>
      <c r="G377" s="114"/>
    </row>
    <row r="378">
      <c r="B378" s="87"/>
      <c r="C378" s="88"/>
      <c r="D378" s="88"/>
      <c r="E378" s="88"/>
      <c r="F378" s="88"/>
      <c r="G378" s="114"/>
    </row>
    <row r="379">
      <c r="B379" s="87"/>
      <c r="C379" s="88"/>
      <c r="D379" s="88"/>
      <c r="E379" s="88"/>
      <c r="F379" s="88"/>
      <c r="G379" s="114"/>
    </row>
    <row r="380">
      <c r="B380" s="87"/>
      <c r="C380" s="88"/>
      <c r="D380" s="88"/>
      <c r="E380" s="88"/>
      <c r="F380" s="88"/>
      <c r="G380" s="114"/>
    </row>
    <row r="381">
      <c r="B381" s="87"/>
      <c r="C381" s="88"/>
      <c r="D381" s="88"/>
      <c r="E381" s="88"/>
      <c r="F381" s="88"/>
      <c r="G381" s="114"/>
    </row>
    <row r="382">
      <c r="B382" s="87"/>
      <c r="C382" s="88"/>
      <c r="D382" s="88"/>
      <c r="E382" s="88"/>
      <c r="F382" s="88"/>
      <c r="G382" s="114"/>
    </row>
    <row r="383">
      <c r="B383" s="87"/>
      <c r="C383" s="88"/>
      <c r="D383" s="88"/>
      <c r="E383" s="88"/>
      <c r="F383" s="88"/>
      <c r="G383" s="114"/>
    </row>
    <row r="384">
      <c r="B384" s="87"/>
      <c r="C384" s="88"/>
      <c r="D384" s="88"/>
      <c r="E384" s="88"/>
      <c r="F384" s="88"/>
      <c r="G384" s="114"/>
    </row>
    <row r="385">
      <c r="B385" s="87"/>
      <c r="C385" s="88"/>
      <c r="D385" s="88"/>
      <c r="E385" s="88"/>
      <c r="F385" s="88"/>
      <c r="G385" s="114"/>
    </row>
    <row r="386">
      <c r="B386" s="87"/>
      <c r="C386" s="88"/>
      <c r="D386" s="88"/>
      <c r="E386" s="88"/>
      <c r="F386" s="88"/>
      <c r="G386" s="114"/>
    </row>
    <row r="387">
      <c r="B387" s="87"/>
      <c r="C387" s="88"/>
      <c r="D387" s="88"/>
      <c r="E387" s="88"/>
      <c r="F387" s="88"/>
      <c r="G387" s="114"/>
    </row>
    <row r="388">
      <c r="B388" s="87"/>
      <c r="C388" s="88"/>
      <c r="D388" s="88"/>
      <c r="E388" s="88"/>
      <c r="F388" s="88"/>
      <c r="G388" s="114"/>
    </row>
    <row r="389">
      <c r="B389" s="87"/>
      <c r="C389" s="88"/>
      <c r="D389" s="88"/>
      <c r="E389" s="88"/>
      <c r="F389" s="88"/>
      <c r="G389" s="114"/>
    </row>
    <row r="390">
      <c r="B390" s="87"/>
      <c r="C390" s="88"/>
      <c r="D390" s="88"/>
      <c r="E390" s="88"/>
      <c r="F390" s="88"/>
      <c r="G390" s="114"/>
    </row>
    <row r="391">
      <c r="B391" s="87"/>
      <c r="C391" s="88"/>
      <c r="D391" s="88"/>
      <c r="E391" s="88"/>
      <c r="F391" s="88"/>
      <c r="G391" s="114"/>
    </row>
    <row r="392">
      <c r="B392" s="87"/>
      <c r="C392" s="88"/>
      <c r="D392" s="88"/>
      <c r="E392" s="88"/>
      <c r="F392" s="88"/>
      <c r="G392" s="114"/>
    </row>
    <row r="393">
      <c r="B393" s="87"/>
      <c r="C393" s="88"/>
      <c r="D393" s="88"/>
      <c r="E393" s="88"/>
      <c r="F393" s="88"/>
      <c r="G393" s="114"/>
    </row>
    <row r="394">
      <c r="B394" s="87"/>
      <c r="C394" s="88"/>
      <c r="D394" s="88"/>
      <c r="E394" s="88"/>
      <c r="F394" s="88"/>
      <c r="G394" s="114"/>
    </row>
    <row r="395">
      <c r="B395" s="87"/>
      <c r="C395" s="88"/>
      <c r="D395" s="88"/>
      <c r="E395" s="88"/>
      <c r="F395" s="88"/>
      <c r="G395" s="114"/>
    </row>
    <row r="396">
      <c r="B396" s="87"/>
      <c r="C396" s="88"/>
      <c r="D396" s="88"/>
      <c r="E396" s="88"/>
      <c r="F396" s="88"/>
      <c r="G396" s="114"/>
    </row>
    <row r="397">
      <c r="B397" s="87"/>
      <c r="C397" s="88"/>
      <c r="D397" s="88"/>
      <c r="E397" s="88"/>
      <c r="F397" s="88"/>
      <c r="G397" s="114"/>
    </row>
    <row r="398">
      <c r="B398" s="87"/>
      <c r="C398" s="88"/>
      <c r="D398" s="88"/>
      <c r="E398" s="88"/>
      <c r="F398" s="88"/>
      <c r="G398" s="114"/>
    </row>
    <row r="399">
      <c r="B399" s="87"/>
      <c r="C399" s="88"/>
      <c r="D399" s="88"/>
      <c r="E399" s="88"/>
      <c r="F399" s="88"/>
      <c r="G399" s="114"/>
    </row>
    <row r="400">
      <c r="B400" s="87"/>
      <c r="C400" s="88"/>
      <c r="D400" s="88"/>
      <c r="E400" s="88"/>
      <c r="F400" s="88"/>
      <c r="G400" s="114"/>
    </row>
    <row r="401">
      <c r="B401" s="87"/>
      <c r="C401" s="88"/>
      <c r="D401" s="88"/>
      <c r="E401" s="88"/>
      <c r="F401" s="88"/>
      <c r="G401" s="114"/>
    </row>
    <row r="402">
      <c r="B402" s="87"/>
      <c r="C402" s="88"/>
      <c r="D402" s="88"/>
      <c r="E402" s="88"/>
      <c r="F402" s="88"/>
      <c r="G402" s="114"/>
    </row>
    <row r="403">
      <c r="B403" s="87"/>
      <c r="C403" s="88"/>
      <c r="D403" s="88"/>
      <c r="E403" s="88"/>
      <c r="F403" s="88"/>
      <c r="G403" s="114"/>
    </row>
    <row r="404">
      <c r="B404" s="87"/>
      <c r="C404" s="88"/>
      <c r="D404" s="88"/>
      <c r="E404" s="88"/>
      <c r="F404" s="88"/>
      <c r="G404" s="114"/>
    </row>
    <row r="405">
      <c r="B405" s="87"/>
      <c r="C405" s="88"/>
      <c r="D405" s="88"/>
      <c r="E405" s="88"/>
      <c r="F405" s="88"/>
      <c r="G405" s="114"/>
    </row>
    <row r="406">
      <c r="B406" s="87"/>
      <c r="C406" s="88"/>
      <c r="D406" s="88"/>
      <c r="E406" s="88"/>
      <c r="F406" s="88"/>
      <c r="G406" s="114"/>
    </row>
    <row r="407">
      <c r="B407" s="87"/>
      <c r="C407" s="88"/>
      <c r="D407" s="88"/>
      <c r="E407" s="88"/>
      <c r="F407" s="88"/>
      <c r="G407" s="114"/>
    </row>
    <row r="408">
      <c r="B408" s="87"/>
      <c r="C408" s="88"/>
      <c r="D408" s="88"/>
      <c r="E408" s="88"/>
      <c r="F408" s="88"/>
      <c r="G408" s="114"/>
    </row>
    <row r="409">
      <c r="B409" s="87"/>
      <c r="C409" s="88"/>
      <c r="D409" s="88"/>
      <c r="E409" s="88"/>
      <c r="F409" s="88"/>
      <c r="G409" s="114"/>
    </row>
    <row r="410">
      <c r="B410" s="87"/>
      <c r="C410" s="88"/>
      <c r="D410" s="88"/>
      <c r="E410" s="88"/>
      <c r="F410" s="88"/>
      <c r="G410" s="114"/>
    </row>
    <row r="411">
      <c r="B411" s="87"/>
      <c r="C411" s="88"/>
      <c r="D411" s="88"/>
      <c r="E411" s="88"/>
      <c r="F411" s="88"/>
      <c r="G411" s="114"/>
    </row>
    <row r="412">
      <c r="B412" s="87"/>
      <c r="C412" s="88"/>
      <c r="D412" s="88"/>
      <c r="E412" s="88"/>
      <c r="F412" s="88"/>
      <c r="G412" s="114"/>
    </row>
    <row r="413">
      <c r="B413" s="87"/>
      <c r="C413" s="88"/>
      <c r="D413" s="88"/>
      <c r="E413" s="88"/>
      <c r="F413" s="88"/>
      <c r="G413" s="114"/>
    </row>
    <row r="414">
      <c r="B414" s="87"/>
      <c r="C414" s="88"/>
      <c r="D414" s="88"/>
      <c r="E414" s="88"/>
      <c r="F414" s="88"/>
      <c r="G414" s="114"/>
    </row>
    <row r="415">
      <c r="B415" s="87"/>
      <c r="C415" s="88"/>
      <c r="D415" s="88"/>
      <c r="E415" s="88"/>
      <c r="F415" s="88"/>
      <c r="G415" s="114"/>
    </row>
    <row r="416">
      <c r="B416" s="87"/>
      <c r="C416" s="88"/>
      <c r="D416" s="88"/>
      <c r="E416" s="88"/>
      <c r="F416" s="88"/>
      <c r="G416" s="114"/>
    </row>
    <row r="417">
      <c r="B417" s="87"/>
      <c r="C417" s="88"/>
      <c r="D417" s="88"/>
      <c r="E417" s="88"/>
      <c r="F417" s="88"/>
      <c r="G417" s="114"/>
    </row>
    <row r="418">
      <c r="B418" s="87"/>
      <c r="C418" s="88"/>
      <c r="D418" s="88"/>
      <c r="E418" s="88"/>
      <c r="F418" s="88"/>
      <c r="G418" s="114"/>
    </row>
    <row r="419">
      <c r="B419" s="87"/>
      <c r="C419" s="88"/>
      <c r="D419" s="88"/>
      <c r="E419" s="88"/>
      <c r="F419" s="88"/>
      <c r="G419" s="114"/>
    </row>
    <row r="420">
      <c r="B420" s="87"/>
      <c r="C420" s="88"/>
      <c r="D420" s="88"/>
      <c r="E420" s="88"/>
      <c r="F420" s="88"/>
      <c r="G420" s="114"/>
    </row>
    <row r="421">
      <c r="B421" s="87"/>
      <c r="C421" s="88"/>
      <c r="D421" s="88"/>
      <c r="E421" s="88"/>
      <c r="F421" s="88"/>
      <c r="G421" s="114"/>
    </row>
    <row r="422">
      <c r="B422" s="87"/>
      <c r="C422" s="88"/>
      <c r="D422" s="88"/>
      <c r="E422" s="88"/>
      <c r="F422" s="88"/>
      <c r="G422" s="114"/>
    </row>
    <row r="423">
      <c r="B423" s="87"/>
      <c r="C423" s="88"/>
      <c r="D423" s="88"/>
      <c r="E423" s="88"/>
      <c r="F423" s="88"/>
      <c r="G423" s="114"/>
    </row>
    <row r="424">
      <c r="B424" s="87"/>
      <c r="C424" s="88"/>
      <c r="D424" s="88"/>
      <c r="E424" s="88"/>
      <c r="F424" s="88"/>
      <c r="G424" s="114"/>
    </row>
    <row r="425">
      <c r="B425" s="87"/>
      <c r="C425" s="88"/>
      <c r="D425" s="88"/>
      <c r="E425" s="88"/>
      <c r="F425" s="88"/>
      <c r="G425" s="114"/>
    </row>
    <row r="426">
      <c r="B426" s="87"/>
      <c r="C426" s="88"/>
      <c r="D426" s="88"/>
      <c r="E426" s="88"/>
      <c r="F426" s="88"/>
      <c r="G426" s="114"/>
    </row>
    <row r="427">
      <c r="B427" s="87"/>
      <c r="C427" s="88"/>
      <c r="D427" s="88"/>
      <c r="E427" s="88"/>
      <c r="F427" s="88"/>
      <c r="G427" s="114"/>
    </row>
    <row r="428">
      <c r="B428" s="87"/>
      <c r="C428" s="88"/>
      <c r="D428" s="88"/>
      <c r="E428" s="88"/>
      <c r="F428" s="88"/>
      <c r="G428" s="114"/>
    </row>
    <row r="429">
      <c r="B429" s="87"/>
      <c r="C429" s="88"/>
      <c r="D429" s="88"/>
      <c r="E429" s="88"/>
      <c r="F429" s="88"/>
      <c r="G429" s="114"/>
    </row>
    <row r="430">
      <c r="B430" s="87"/>
      <c r="C430" s="88"/>
      <c r="D430" s="88"/>
      <c r="E430" s="88"/>
      <c r="F430" s="88"/>
      <c r="G430" s="114"/>
    </row>
    <row r="431">
      <c r="B431" s="87"/>
      <c r="C431" s="88"/>
      <c r="D431" s="88"/>
      <c r="E431" s="88"/>
      <c r="F431" s="88"/>
      <c r="G431" s="114"/>
    </row>
    <row r="432">
      <c r="B432" s="87"/>
      <c r="C432" s="88"/>
      <c r="D432" s="88"/>
      <c r="E432" s="88"/>
      <c r="F432" s="88"/>
      <c r="G432" s="114"/>
    </row>
    <row r="433">
      <c r="B433" s="87"/>
      <c r="C433" s="88"/>
      <c r="D433" s="88"/>
      <c r="E433" s="88"/>
      <c r="F433" s="88"/>
      <c r="G433" s="114"/>
    </row>
    <row r="434">
      <c r="B434" s="87"/>
      <c r="C434" s="88"/>
      <c r="D434" s="88"/>
      <c r="E434" s="88"/>
      <c r="F434" s="88"/>
      <c r="G434" s="114"/>
    </row>
    <row r="435">
      <c r="B435" s="87"/>
      <c r="C435" s="88"/>
      <c r="D435" s="88"/>
      <c r="E435" s="88"/>
      <c r="F435" s="88"/>
      <c r="G435" s="114"/>
    </row>
    <row r="436">
      <c r="B436" s="87"/>
      <c r="C436" s="88"/>
      <c r="D436" s="88"/>
      <c r="E436" s="88"/>
      <c r="F436" s="88"/>
      <c r="G436" s="114"/>
    </row>
    <row r="437">
      <c r="B437" s="87"/>
      <c r="C437" s="88"/>
      <c r="D437" s="88"/>
      <c r="E437" s="88"/>
      <c r="F437" s="88"/>
      <c r="G437" s="114"/>
    </row>
    <row r="438">
      <c r="B438" s="87"/>
      <c r="C438" s="88"/>
      <c r="D438" s="88"/>
      <c r="E438" s="88"/>
      <c r="F438" s="88"/>
      <c r="G438" s="114"/>
    </row>
    <row r="439">
      <c r="B439" s="87"/>
      <c r="C439" s="88"/>
      <c r="D439" s="88"/>
      <c r="E439" s="88"/>
      <c r="F439" s="88"/>
      <c r="G439" s="114"/>
    </row>
    <row r="440">
      <c r="B440" s="87"/>
      <c r="C440" s="88"/>
      <c r="D440" s="88"/>
      <c r="E440" s="88"/>
      <c r="F440" s="88"/>
      <c r="G440" s="114"/>
    </row>
    <row r="441">
      <c r="B441" s="87"/>
      <c r="C441" s="88"/>
      <c r="D441" s="88"/>
      <c r="E441" s="88"/>
      <c r="F441" s="88"/>
      <c r="G441" s="114"/>
    </row>
    <row r="442">
      <c r="B442" s="87"/>
      <c r="C442" s="88"/>
      <c r="D442" s="88"/>
      <c r="E442" s="88"/>
      <c r="F442" s="88"/>
      <c r="G442" s="114"/>
    </row>
    <row r="443">
      <c r="B443" s="87"/>
      <c r="C443" s="88"/>
      <c r="D443" s="88"/>
      <c r="E443" s="88"/>
      <c r="F443" s="88"/>
      <c r="G443" s="114"/>
    </row>
    <row r="444">
      <c r="B444" s="87"/>
      <c r="C444" s="88"/>
      <c r="D444" s="88"/>
      <c r="E444" s="88"/>
      <c r="F444" s="88"/>
      <c r="G444" s="114"/>
    </row>
    <row r="445">
      <c r="B445" s="87"/>
      <c r="C445" s="88"/>
      <c r="D445" s="88"/>
      <c r="E445" s="88"/>
      <c r="F445" s="88"/>
      <c r="G445" s="114"/>
    </row>
    <row r="446">
      <c r="B446" s="87"/>
      <c r="C446" s="88"/>
      <c r="D446" s="88"/>
      <c r="E446" s="88"/>
      <c r="F446" s="88"/>
      <c r="G446" s="114"/>
    </row>
    <row r="447">
      <c r="B447" s="87"/>
      <c r="C447" s="88"/>
      <c r="D447" s="88"/>
      <c r="E447" s="88"/>
      <c r="F447" s="88"/>
      <c r="G447" s="114"/>
    </row>
    <row r="448">
      <c r="B448" s="87"/>
      <c r="C448" s="88"/>
      <c r="D448" s="88"/>
      <c r="E448" s="88"/>
      <c r="F448" s="88"/>
      <c r="G448" s="114"/>
    </row>
    <row r="449">
      <c r="B449" s="87"/>
      <c r="C449" s="88"/>
      <c r="D449" s="88"/>
      <c r="E449" s="88"/>
      <c r="F449" s="88"/>
      <c r="G449" s="114"/>
    </row>
    <row r="450">
      <c r="B450" s="87"/>
      <c r="C450" s="88"/>
      <c r="D450" s="88"/>
      <c r="E450" s="88"/>
      <c r="F450" s="88"/>
      <c r="G450" s="114"/>
    </row>
    <row r="451">
      <c r="B451" s="87"/>
      <c r="C451" s="88"/>
      <c r="D451" s="88"/>
      <c r="E451" s="88"/>
      <c r="F451" s="88"/>
      <c r="G451" s="114"/>
    </row>
    <row r="452">
      <c r="B452" s="87"/>
      <c r="C452" s="88"/>
      <c r="D452" s="88"/>
      <c r="E452" s="88"/>
      <c r="F452" s="88"/>
      <c r="G452" s="114"/>
    </row>
    <row r="453">
      <c r="B453" s="87"/>
      <c r="C453" s="88"/>
      <c r="D453" s="88"/>
      <c r="E453" s="88"/>
      <c r="F453" s="88"/>
      <c r="G453" s="114"/>
    </row>
    <row r="454">
      <c r="B454" s="87"/>
      <c r="C454" s="88"/>
      <c r="D454" s="88"/>
      <c r="E454" s="88"/>
      <c r="F454" s="88"/>
      <c r="G454" s="114"/>
    </row>
    <row r="455">
      <c r="B455" s="87"/>
      <c r="C455" s="88"/>
      <c r="D455" s="88"/>
      <c r="E455" s="88"/>
      <c r="F455" s="88"/>
      <c r="G455" s="114"/>
    </row>
    <row r="456">
      <c r="B456" s="87"/>
      <c r="C456" s="88"/>
      <c r="D456" s="88"/>
      <c r="E456" s="88"/>
      <c r="F456" s="88"/>
      <c r="G456" s="114"/>
    </row>
    <row r="457">
      <c r="B457" s="87"/>
      <c r="C457" s="88"/>
      <c r="D457" s="88"/>
      <c r="E457" s="88"/>
      <c r="F457" s="88"/>
      <c r="G457" s="114"/>
    </row>
    <row r="458">
      <c r="B458" s="87"/>
      <c r="C458" s="88"/>
      <c r="D458" s="88"/>
      <c r="E458" s="88"/>
      <c r="F458" s="88"/>
      <c r="G458" s="114"/>
    </row>
    <row r="459">
      <c r="B459" s="87"/>
      <c r="C459" s="88"/>
      <c r="D459" s="88"/>
      <c r="E459" s="88"/>
      <c r="F459" s="88"/>
      <c r="G459" s="114"/>
    </row>
    <row r="460">
      <c r="B460" s="87"/>
      <c r="C460" s="88"/>
      <c r="D460" s="88"/>
      <c r="E460" s="88"/>
      <c r="F460" s="88"/>
      <c r="G460" s="114"/>
    </row>
    <row r="461">
      <c r="B461" s="87"/>
      <c r="C461" s="88"/>
      <c r="D461" s="88"/>
      <c r="E461" s="88"/>
      <c r="F461" s="88"/>
      <c r="G461" s="114"/>
    </row>
    <row r="462">
      <c r="B462" s="87"/>
      <c r="C462" s="88"/>
      <c r="D462" s="88"/>
      <c r="E462" s="88"/>
      <c r="F462" s="88"/>
      <c r="G462" s="114"/>
    </row>
    <row r="463">
      <c r="B463" s="87"/>
      <c r="C463" s="88"/>
      <c r="D463" s="88"/>
      <c r="E463" s="88"/>
      <c r="F463" s="88"/>
      <c r="G463" s="114"/>
    </row>
    <row r="464">
      <c r="B464" s="87"/>
      <c r="C464" s="88"/>
      <c r="D464" s="88"/>
      <c r="E464" s="88"/>
      <c r="F464" s="88"/>
      <c r="G464" s="114"/>
    </row>
    <row r="465">
      <c r="B465" s="87"/>
      <c r="C465" s="88"/>
      <c r="D465" s="88"/>
      <c r="E465" s="88"/>
      <c r="F465" s="88"/>
      <c r="G465" s="114"/>
    </row>
    <row r="466">
      <c r="B466" s="87"/>
      <c r="C466" s="88"/>
      <c r="D466" s="88"/>
      <c r="E466" s="88"/>
      <c r="F466" s="88"/>
      <c r="G466" s="114"/>
    </row>
    <row r="467">
      <c r="B467" s="87"/>
      <c r="C467" s="88"/>
      <c r="D467" s="88"/>
      <c r="E467" s="88"/>
      <c r="F467" s="88"/>
      <c r="G467" s="114"/>
    </row>
    <row r="468">
      <c r="B468" s="87"/>
      <c r="C468" s="88"/>
      <c r="D468" s="88"/>
      <c r="E468" s="88"/>
      <c r="F468" s="88"/>
      <c r="G468" s="114"/>
    </row>
    <row r="469">
      <c r="B469" s="87"/>
      <c r="C469" s="88"/>
      <c r="D469" s="88"/>
      <c r="E469" s="88"/>
      <c r="F469" s="88"/>
      <c r="G469" s="114"/>
    </row>
    <row r="470">
      <c r="B470" s="87"/>
      <c r="C470" s="88"/>
      <c r="D470" s="88"/>
      <c r="E470" s="88"/>
      <c r="F470" s="88"/>
      <c r="G470" s="114"/>
    </row>
    <row r="471">
      <c r="B471" s="87"/>
      <c r="C471" s="88"/>
      <c r="D471" s="88"/>
      <c r="E471" s="88"/>
      <c r="F471" s="88"/>
      <c r="G471" s="114"/>
    </row>
    <row r="472">
      <c r="B472" s="87"/>
      <c r="C472" s="88"/>
      <c r="D472" s="88"/>
      <c r="E472" s="88"/>
      <c r="F472" s="88"/>
      <c r="G472" s="114"/>
    </row>
    <row r="473">
      <c r="B473" s="87"/>
      <c r="C473" s="88"/>
      <c r="D473" s="88"/>
      <c r="E473" s="88"/>
      <c r="F473" s="88"/>
      <c r="G473" s="114"/>
    </row>
    <row r="474">
      <c r="B474" s="87"/>
      <c r="C474" s="88"/>
      <c r="D474" s="88"/>
      <c r="E474" s="88"/>
      <c r="F474" s="88"/>
      <c r="G474" s="114"/>
    </row>
    <row r="475">
      <c r="B475" s="87"/>
      <c r="C475" s="88"/>
      <c r="D475" s="88"/>
      <c r="E475" s="88"/>
      <c r="F475" s="88"/>
      <c r="G475" s="114"/>
    </row>
    <row r="476">
      <c r="B476" s="87"/>
      <c r="C476" s="88"/>
      <c r="D476" s="88"/>
      <c r="E476" s="88"/>
      <c r="F476" s="88"/>
      <c r="G476" s="114"/>
    </row>
    <row r="477">
      <c r="B477" s="87"/>
      <c r="C477" s="88"/>
      <c r="D477" s="88"/>
      <c r="E477" s="88"/>
      <c r="F477" s="88"/>
      <c r="G477" s="114"/>
    </row>
    <row r="478">
      <c r="B478" s="87"/>
      <c r="C478" s="88"/>
      <c r="D478" s="88"/>
      <c r="E478" s="88"/>
      <c r="F478" s="88"/>
      <c r="G478" s="114"/>
    </row>
    <row r="479">
      <c r="B479" s="87"/>
      <c r="C479" s="88"/>
      <c r="D479" s="88"/>
      <c r="E479" s="88"/>
      <c r="F479" s="88"/>
      <c r="G479" s="114"/>
    </row>
    <row r="480">
      <c r="B480" s="87"/>
      <c r="C480" s="88"/>
      <c r="D480" s="88"/>
      <c r="E480" s="88"/>
      <c r="F480" s="88"/>
      <c r="G480" s="114"/>
    </row>
    <row r="481">
      <c r="B481" s="87"/>
      <c r="C481" s="88"/>
      <c r="D481" s="88"/>
      <c r="E481" s="88"/>
      <c r="F481" s="88"/>
      <c r="G481" s="114"/>
    </row>
    <row r="482">
      <c r="B482" s="87"/>
      <c r="C482" s="88"/>
      <c r="D482" s="88"/>
      <c r="E482" s="88"/>
      <c r="F482" s="88"/>
      <c r="G482" s="114"/>
    </row>
    <row r="483">
      <c r="B483" s="87"/>
      <c r="C483" s="88"/>
      <c r="D483" s="88"/>
      <c r="E483" s="88"/>
      <c r="F483" s="88"/>
      <c r="G483" s="114"/>
    </row>
    <row r="484">
      <c r="B484" s="87"/>
      <c r="C484" s="88"/>
      <c r="D484" s="88"/>
      <c r="E484" s="88"/>
      <c r="F484" s="88"/>
      <c r="G484" s="114"/>
    </row>
    <row r="485">
      <c r="B485" s="87"/>
      <c r="C485" s="88"/>
      <c r="D485" s="88"/>
      <c r="E485" s="88"/>
      <c r="F485" s="88"/>
      <c r="G485" s="114"/>
    </row>
    <row r="486">
      <c r="B486" s="87"/>
      <c r="C486" s="88"/>
      <c r="D486" s="88"/>
      <c r="E486" s="88"/>
      <c r="F486" s="88"/>
      <c r="G486" s="114"/>
    </row>
    <row r="487">
      <c r="B487" s="87"/>
      <c r="C487" s="88"/>
      <c r="D487" s="88"/>
      <c r="E487" s="88"/>
      <c r="F487" s="88"/>
      <c r="G487" s="114"/>
    </row>
    <row r="488">
      <c r="B488" s="87"/>
      <c r="C488" s="88"/>
      <c r="D488" s="88"/>
      <c r="E488" s="88"/>
      <c r="F488" s="88"/>
      <c r="G488" s="114"/>
    </row>
    <row r="489">
      <c r="B489" s="87"/>
      <c r="C489" s="88"/>
      <c r="D489" s="88"/>
      <c r="E489" s="88"/>
      <c r="F489" s="88"/>
      <c r="G489" s="114"/>
    </row>
    <row r="490">
      <c r="B490" s="87"/>
      <c r="C490" s="88"/>
      <c r="D490" s="88"/>
      <c r="E490" s="88"/>
      <c r="F490" s="88"/>
      <c r="G490" s="114"/>
    </row>
    <row r="491">
      <c r="B491" s="87"/>
      <c r="C491" s="88"/>
      <c r="D491" s="88"/>
      <c r="E491" s="88"/>
      <c r="F491" s="88"/>
      <c r="G491" s="114"/>
    </row>
    <row r="492">
      <c r="B492" s="87"/>
      <c r="C492" s="88"/>
      <c r="D492" s="88"/>
      <c r="E492" s="88"/>
      <c r="F492" s="88"/>
      <c r="G492" s="114"/>
    </row>
    <row r="493">
      <c r="B493" s="87"/>
      <c r="C493" s="88"/>
      <c r="D493" s="88"/>
      <c r="E493" s="88"/>
      <c r="F493" s="88"/>
      <c r="G493" s="114"/>
    </row>
    <row r="494">
      <c r="B494" s="87"/>
      <c r="C494" s="88"/>
      <c r="D494" s="88"/>
      <c r="E494" s="88"/>
      <c r="F494" s="88"/>
      <c r="G494" s="114"/>
    </row>
    <row r="495">
      <c r="B495" s="87"/>
      <c r="C495" s="88"/>
      <c r="D495" s="88"/>
      <c r="E495" s="88"/>
      <c r="F495" s="88"/>
      <c r="G495" s="114"/>
    </row>
    <row r="496">
      <c r="B496" s="87"/>
      <c r="C496" s="88"/>
      <c r="D496" s="88"/>
      <c r="E496" s="88"/>
      <c r="F496" s="88"/>
      <c r="G496" s="114"/>
    </row>
    <row r="497">
      <c r="B497" s="87"/>
      <c r="C497" s="88"/>
      <c r="D497" s="88"/>
      <c r="E497" s="88"/>
      <c r="F497" s="88"/>
      <c r="G497" s="114"/>
    </row>
    <row r="498">
      <c r="B498" s="87"/>
      <c r="C498" s="88"/>
      <c r="D498" s="88"/>
      <c r="E498" s="88"/>
      <c r="F498" s="88"/>
      <c r="G498" s="114"/>
    </row>
    <row r="499">
      <c r="B499" s="87"/>
      <c r="C499" s="88"/>
      <c r="D499" s="88"/>
      <c r="E499" s="88"/>
      <c r="F499" s="88"/>
      <c r="G499" s="114"/>
    </row>
    <row r="500">
      <c r="B500" s="87"/>
      <c r="C500" s="88"/>
      <c r="D500" s="88"/>
      <c r="E500" s="88"/>
      <c r="F500" s="88"/>
      <c r="G500" s="114"/>
    </row>
    <row r="501">
      <c r="B501" s="87"/>
      <c r="C501" s="88"/>
      <c r="D501" s="88"/>
      <c r="E501" s="88"/>
      <c r="F501" s="88"/>
      <c r="G501" s="114"/>
    </row>
    <row r="502">
      <c r="B502" s="87"/>
      <c r="C502" s="88"/>
      <c r="D502" s="88"/>
      <c r="E502" s="88"/>
      <c r="F502" s="88"/>
      <c r="G502" s="114"/>
    </row>
    <row r="503">
      <c r="B503" s="87"/>
      <c r="C503" s="88"/>
      <c r="D503" s="88"/>
      <c r="E503" s="88"/>
      <c r="F503" s="88"/>
      <c r="G503" s="114"/>
    </row>
    <row r="504">
      <c r="B504" s="87"/>
      <c r="C504" s="88"/>
      <c r="D504" s="88"/>
      <c r="E504" s="88"/>
      <c r="F504" s="88"/>
      <c r="G504" s="114"/>
    </row>
    <row r="505">
      <c r="B505" s="87"/>
      <c r="C505" s="88"/>
      <c r="D505" s="88"/>
      <c r="E505" s="88"/>
      <c r="F505" s="88"/>
      <c r="G505" s="114"/>
    </row>
    <row r="506">
      <c r="B506" s="87"/>
      <c r="C506" s="88"/>
      <c r="D506" s="88"/>
      <c r="E506" s="88"/>
      <c r="F506" s="88"/>
      <c r="G506" s="114"/>
    </row>
    <row r="507">
      <c r="B507" s="87"/>
      <c r="C507" s="88"/>
      <c r="D507" s="88"/>
      <c r="E507" s="88"/>
      <c r="F507" s="88"/>
      <c r="G507" s="114"/>
    </row>
    <row r="508">
      <c r="B508" s="87"/>
      <c r="C508" s="88"/>
      <c r="D508" s="88"/>
      <c r="E508" s="88"/>
      <c r="F508" s="88"/>
      <c r="G508" s="114"/>
    </row>
    <row r="509">
      <c r="B509" s="87"/>
      <c r="C509" s="88"/>
      <c r="D509" s="88"/>
      <c r="E509" s="88"/>
      <c r="F509" s="88"/>
      <c r="G509" s="114"/>
    </row>
    <row r="510">
      <c r="B510" s="87"/>
      <c r="C510" s="88"/>
      <c r="D510" s="88"/>
      <c r="E510" s="88"/>
      <c r="F510" s="88"/>
      <c r="G510" s="114"/>
    </row>
    <row r="511">
      <c r="B511" s="87"/>
      <c r="C511" s="88"/>
      <c r="D511" s="88"/>
      <c r="E511" s="88"/>
      <c r="F511" s="88"/>
      <c r="G511" s="114"/>
    </row>
    <row r="512">
      <c r="B512" s="87"/>
      <c r="C512" s="88"/>
      <c r="D512" s="88"/>
      <c r="E512" s="88"/>
      <c r="F512" s="88"/>
      <c r="G512" s="114"/>
    </row>
    <row r="513">
      <c r="B513" s="87"/>
      <c r="C513" s="88"/>
      <c r="D513" s="88"/>
      <c r="E513" s="88"/>
      <c r="F513" s="88"/>
      <c r="G513" s="114"/>
    </row>
    <row r="514">
      <c r="B514" s="87"/>
      <c r="C514" s="88"/>
      <c r="D514" s="88"/>
      <c r="E514" s="88"/>
      <c r="F514" s="88"/>
      <c r="G514" s="114"/>
    </row>
    <row r="515">
      <c r="B515" s="87"/>
      <c r="C515" s="88"/>
      <c r="D515" s="88"/>
      <c r="E515" s="88"/>
      <c r="F515" s="88"/>
      <c r="G515" s="114"/>
    </row>
    <row r="516">
      <c r="B516" s="87"/>
      <c r="C516" s="88"/>
      <c r="D516" s="88"/>
      <c r="E516" s="88"/>
      <c r="F516" s="88"/>
      <c r="G516" s="114"/>
    </row>
    <row r="517">
      <c r="B517" s="87"/>
      <c r="C517" s="88"/>
      <c r="D517" s="88"/>
      <c r="E517" s="88"/>
      <c r="F517" s="88"/>
      <c r="G517" s="114"/>
    </row>
    <row r="518">
      <c r="B518" s="87"/>
      <c r="C518" s="88"/>
      <c r="D518" s="88"/>
      <c r="E518" s="88"/>
      <c r="F518" s="88"/>
      <c r="G518" s="114"/>
    </row>
    <row r="519">
      <c r="B519" s="87"/>
      <c r="C519" s="88"/>
      <c r="D519" s="88"/>
      <c r="E519" s="88"/>
      <c r="F519" s="88"/>
      <c r="G519" s="114"/>
    </row>
    <row r="520">
      <c r="B520" s="87"/>
      <c r="C520" s="88"/>
      <c r="D520" s="88"/>
      <c r="E520" s="88"/>
      <c r="F520" s="88"/>
      <c r="G520" s="114"/>
    </row>
    <row r="521">
      <c r="B521" s="87"/>
      <c r="C521" s="88"/>
      <c r="D521" s="88"/>
      <c r="E521" s="88"/>
      <c r="F521" s="88"/>
      <c r="G521" s="114"/>
    </row>
    <row r="522">
      <c r="B522" s="87"/>
      <c r="C522" s="88"/>
      <c r="D522" s="88"/>
      <c r="E522" s="88"/>
      <c r="F522" s="88"/>
      <c r="G522" s="114"/>
    </row>
    <row r="523">
      <c r="B523" s="87"/>
      <c r="C523" s="88"/>
      <c r="D523" s="88"/>
      <c r="E523" s="88"/>
      <c r="F523" s="88"/>
      <c r="G523" s="114"/>
    </row>
    <row r="524">
      <c r="B524" s="87"/>
      <c r="C524" s="88"/>
      <c r="D524" s="88"/>
      <c r="E524" s="88"/>
      <c r="F524" s="88"/>
      <c r="G524" s="114"/>
    </row>
    <row r="525">
      <c r="B525" s="87"/>
      <c r="C525" s="88"/>
      <c r="D525" s="88"/>
      <c r="E525" s="88"/>
      <c r="F525" s="88"/>
      <c r="G525" s="114"/>
    </row>
    <row r="526">
      <c r="B526" s="87"/>
      <c r="C526" s="88"/>
      <c r="D526" s="88"/>
      <c r="E526" s="88"/>
      <c r="F526" s="88"/>
      <c r="G526" s="114"/>
    </row>
    <row r="527">
      <c r="B527" s="87"/>
      <c r="C527" s="88"/>
      <c r="D527" s="88"/>
      <c r="E527" s="88"/>
      <c r="F527" s="88"/>
      <c r="G527" s="114"/>
    </row>
    <row r="528">
      <c r="B528" s="87"/>
      <c r="C528" s="88"/>
      <c r="D528" s="88"/>
      <c r="E528" s="88"/>
      <c r="F528" s="88"/>
      <c r="G528" s="114"/>
    </row>
    <row r="529">
      <c r="B529" s="87"/>
      <c r="C529" s="88"/>
      <c r="D529" s="88"/>
      <c r="E529" s="88"/>
      <c r="F529" s="88"/>
      <c r="G529" s="114"/>
    </row>
    <row r="530">
      <c r="B530" s="87"/>
      <c r="C530" s="88"/>
      <c r="D530" s="88"/>
      <c r="E530" s="88"/>
      <c r="F530" s="88"/>
      <c r="G530" s="114"/>
    </row>
    <row r="531">
      <c r="B531" s="87"/>
      <c r="C531" s="88"/>
      <c r="D531" s="88"/>
      <c r="E531" s="88"/>
      <c r="F531" s="88"/>
      <c r="G531" s="114"/>
    </row>
    <row r="532">
      <c r="B532" s="87"/>
      <c r="C532" s="88"/>
      <c r="D532" s="88"/>
      <c r="E532" s="88"/>
      <c r="F532" s="88"/>
      <c r="G532" s="114"/>
    </row>
    <row r="533">
      <c r="B533" s="87"/>
      <c r="C533" s="88"/>
      <c r="D533" s="88"/>
      <c r="E533" s="88"/>
      <c r="F533" s="88"/>
      <c r="G533" s="114"/>
    </row>
    <row r="534">
      <c r="B534" s="87"/>
      <c r="C534" s="88"/>
      <c r="D534" s="88"/>
      <c r="E534" s="88"/>
      <c r="F534" s="88"/>
      <c r="G534" s="114"/>
    </row>
    <row r="535">
      <c r="B535" s="87"/>
      <c r="C535" s="88"/>
      <c r="D535" s="88"/>
      <c r="E535" s="88"/>
      <c r="F535" s="88"/>
      <c r="G535" s="114"/>
    </row>
    <row r="536">
      <c r="B536" s="87"/>
      <c r="C536" s="88"/>
      <c r="D536" s="88"/>
      <c r="E536" s="88"/>
      <c r="F536" s="88"/>
      <c r="G536" s="114"/>
    </row>
    <row r="537">
      <c r="B537" s="87"/>
      <c r="C537" s="88"/>
      <c r="D537" s="88"/>
      <c r="E537" s="88"/>
      <c r="F537" s="88"/>
      <c r="G537" s="114"/>
    </row>
    <row r="538">
      <c r="B538" s="87"/>
      <c r="C538" s="88"/>
      <c r="D538" s="88"/>
      <c r="E538" s="88"/>
      <c r="F538" s="88"/>
      <c r="G538" s="114"/>
    </row>
    <row r="539">
      <c r="B539" s="87"/>
      <c r="C539" s="88"/>
      <c r="D539" s="88"/>
      <c r="E539" s="88"/>
      <c r="F539" s="88"/>
      <c r="G539" s="114"/>
    </row>
    <row r="540">
      <c r="B540" s="87"/>
      <c r="C540" s="88"/>
      <c r="D540" s="88"/>
      <c r="E540" s="88"/>
      <c r="F540" s="88"/>
      <c r="G540" s="114"/>
    </row>
    <row r="541">
      <c r="B541" s="87"/>
      <c r="C541" s="88"/>
      <c r="D541" s="88"/>
      <c r="E541" s="88"/>
      <c r="F541" s="88"/>
      <c r="G541" s="114"/>
    </row>
    <row r="542">
      <c r="B542" s="87"/>
      <c r="C542" s="88"/>
      <c r="D542" s="88"/>
      <c r="E542" s="88"/>
      <c r="F542" s="88"/>
      <c r="G542" s="114"/>
    </row>
    <row r="543">
      <c r="B543" s="87"/>
      <c r="C543" s="88"/>
      <c r="D543" s="88"/>
      <c r="E543" s="88"/>
      <c r="F543" s="88"/>
      <c r="G543" s="114"/>
    </row>
    <row r="544">
      <c r="B544" s="87"/>
      <c r="C544" s="88"/>
      <c r="D544" s="88"/>
      <c r="E544" s="88"/>
      <c r="F544" s="88"/>
      <c r="G544" s="114"/>
    </row>
    <row r="545">
      <c r="B545" s="87"/>
      <c r="C545" s="88"/>
      <c r="D545" s="88"/>
      <c r="E545" s="88"/>
      <c r="F545" s="88"/>
      <c r="G545" s="114"/>
    </row>
    <row r="546">
      <c r="B546" s="87"/>
      <c r="C546" s="88"/>
      <c r="D546" s="88"/>
      <c r="E546" s="88"/>
      <c r="F546" s="88"/>
      <c r="G546" s="114"/>
    </row>
    <row r="547">
      <c r="B547" s="87"/>
      <c r="C547" s="88"/>
      <c r="D547" s="88"/>
      <c r="E547" s="88"/>
      <c r="F547" s="88"/>
      <c r="G547" s="114"/>
    </row>
    <row r="548">
      <c r="B548" s="87"/>
      <c r="C548" s="88"/>
      <c r="D548" s="88"/>
      <c r="E548" s="88"/>
      <c r="F548" s="88"/>
      <c r="G548" s="114"/>
    </row>
    <row r="549">
      <c r="B549" s="87"/>
      <c r="C549" s="88"/>
      <c r="D549" s="88"/>
      <c r="E549" s="88"/>
      <c r="F549" s="88"/>
      <c r="G549" s="114"/>
    </row>
    <row r="550">
      <c r="B550" s="87"/>
      <c r="C550" s="88"/>
      <c r="D550" s="88"/>
      <c r="E550" s="88"/>
      <c r="F550" s="88"/>
      <c r="G550" s="114"/>
    </row>
    <row r="551">
      <c r="B551" s="87"/>
      <c r="C551" s="88"/>
      <c r="D551" s="88"/>
      <c r="E551" s="88"/>
      <c r="F551" s="88"/>
      <c r="G551" s="114"/>
    </row>
    <row r="552">
      <c r="B552" s="87"/>
      <c r="C552" s="88"/>
      <c r="D552" s="88"/>
      <c r="E552" s="88"/>
      <c r="F552" s="88"/>
      <c r="G552" s="114"/>
    </row>
    <row r="553">
      <c r="B553" s="87"/>
      <c r="C553" s="88"/>
      <c r="D553" s="88"/>
      <c r="E553" s="88"/>
      <c r="F553" s="88"/>
      <c r="G553" s="114"/>
    </row>
    <row r="554">
      <c r="B554" s="87"/>
      <c r="C554" s="88"/>
      <c r="D554" s="88"/>
      <c r="E554" s="88"/>
      <c r="F554" s="88"/>
      <c r="G554" s="114"/>
    </row>
    <row r="555">
      <c r="B555" s="87"/>
      <c r="C555" s="88"/>
      <c r="D555" s="88"/>
      <c r="E555" s="88"/>
      <c r="F555" s="88"/>
      <c r="G555" s="114"/>
    </row>
    <row r="556">
      <c r="B556" s="87"/>
      <c r="C556" s="88"/>
      <c r="D556" s="88"/>
      <c r="E556" s="88"/>
      <c r="F556" s="88"/>
      <c r="G556" s="114"/>
    </row>
    <row r="557">
      <c r="B557" s="87"/>
      <c r="C557" s="88"/>
      <c r="D557" s="88"/>
      <c r="E557" s="88"/>
      <c r="F557" s="88"/>
      <c r="G557" s="114"/>
    </row>
    <row r="558">
      <c r="B558" s="87"/>
      <c r="C558" s="88"/>
      <c r="D558" s="88"/>
      <c r="E558" s="88"/>
      <c r="F558" s="88"/>
      <c r="G558" s="114"/>
    </row>
    <row r="559">
      <c r="B559" s="87"/>
      <c r="C559" s="88"/>
      <c r="D559" s="88"/>
      <c r="E559" s="88"/>
      <c r="F559" s="88"/>
      <c r="G559" s="114"/>
    </row>
    <row r="560">
      <c r="B560" s="87"/>
      <c r="C560" s="88"/>
      <c r="D560" s="88"/>
      <c r="E560" s="88"/>
      <c r="F560" s="88"/>
      <c r="G560" s="114"/>
    </row>
    <row r="561">
      <c r="B561" s="87"/>
      <c r="C561" s="88"/>
      <c r="D561" s="88"/>
      <c r="E561" s="88"/>
      <c r="F561" s="88"/>
      <c r="G561" s="114"/>
    </row>
    <row r="562">
      <c r="B562" s="87"/>
      <c r="C562" s="88"/>
      <c r="D562" s="88"/>
      <c r="E562" s="88"/>
      <c r="F562" s="88"/>
      <c r="G562" s="114"/>
    </row>
    <row r="563">
      <c r="B563" s="87"/>
      <c r="C563" s="88"/>
      <c r="D563" s="88"/>
      <c r="E563" s="88"/>
      <c r="F563" s="88"/>
      <c r="G563" s="114"/>
    </row>
    <row r="564">
      <c r="B564" s="87"/>
      <c r="C564" s="88"/>
      <c r="D564" s="88"/>
      <c r="E564" s="88"/>
      <c r="F564" s="88"/>
      <c r="G564" s="114"/>
    </row>
    <row r="565">
      <c r="B565" s="87"/>
      <c r="C565" s="88"/>
      <c r="D565" s="88"/>
      <c r="E565" s="88"/>
      <c r="F565" s="88"/>
      <c r="G565" s="114"/>
    </row>
    <row r="566">
      <c r="B566" s="87"/>
      <c r="C566" s="88"/>
      <c r="D566" s="88"/>
      <c r="E566" s="88"/>
      <c r="F566" s="88"/>
      <c r="G566" s="114"/>
    </row>
    <row r="567">
      <c r="B567" s="87"/>
      <c r="C567" s="88"/>
      <c r="D567" s="88"/>
      <c r="E567" s="88"/>
      <c r="F567" s="88"/>
      <c r="G567" s="114"/>
    </row>
    <row r="568">
      <c r="B568" s="87"/>
      <c r="C568" s="88"/>
      <c r="D568" s="88"/>
      <c r="E568" s="88"/>
      <c r="F568" s="88"/>
      <c r="G568" s="114"/>
    </row>
    <row r="569">
      <c r="B569" s="87"/>
      <c r="C569" s="88"/>
      <c r="D569" s="88"/>
      <c r="E569" s="88"/>
      <c r="F569" s="88"/>
      <c r="G569" s="114"/>
    </row>
    <row r="570">
      <c r="B570" s="87"/>
      <c r="C570" s="88"/>
      <c r="D570" s="88"/>
      <c r="E570" s="88"/>
      <c r="F570" s="88"/>
      <c r="G570" s="114"/>
    </row>
    <row r="571">
      <c r="B571" s="87"/>
      <c r="C571" s="88"/>
      <c r="D571" s="88"/>
      <c r="E571" s="88"/>
      <c r="F571" s="88"/>
      <c r="G571" s="114"/>
    </row>
    <row r="572">
      <c r="B572" s="87"/>
      <c r="C572" s="88"/>
      <c r="D572" s="88"/>
      <c r="E572" s="88"/>
      <c r="F572" s="88"/>
      <c r="G572" s="114"/>
    </row>
    <row r="573">
      <c r="B573" s="87"/>
      <c r="C573" s="88"/>
      <c r="D573" s="88"/>
      <c r="E573" s="88"/>
      <c r="F573" s="88"/>
      <c r="G573" s="114"/>
    </row>
    <row r="574">
      <c r="B574" s="87"/>
      <c r="C574" s="88"/>
      <c r="D574" s="88"/>
      <c r="E574" s="88"/>
      <c r="F574" s="88"/>
      <c r="G574" s="114"/>
    </row>
    <row r="575">
      <c r="B575" s="87"/>
      <c r="C575" s="88"/>
      <c r="D575" s="88"/>
      <c r="E575" s="88"/>
      <c r="F575" s="88"/>
      <c r="G575" s="114"/>
    </row>
    <row r="576">
      <c r="B576" s="87"/>
      <c r="C576" s="88"/>
      <c r="D576" s="88"/>
      <c r="E576" s="88"/>
      <c r="F576" s="88"/>
      <c r="G576" s="114"/>
    </row>
    <row r="577">
      <c r="B577" s="87"/>
      <c r="C577" s="88"/>
      <c r="D577" s="88"/>
      <c r="E577" s="88"/>
      <c r="F577" s="88"/>
      <c r="G577" s="114"/>
    </row>
    <row r="578">
      <c r="B578" s="87"/>
      <c r="C578" s="88"/>
      <c r="D578" s="88"/>
      <c r="E578" s="88"/>
      <c r="F578" s="88"/>
      <c r="G578" s="114"/>
    </row>
    <row r="579">
      <c r="B579" s="87"/>
      <c r="C579" s="88"/>
      <c r="D579" s="88"/>
      <c r="E579" s="88"/>
      <c r="F579" s="88"/>
      <c r="G579" s="114"/>
    </row>
    <row r="580">
      <c r="B580" s="87"/>
      <c r="C580" s="88"/>
      <c r="D580" s="88"/>
      <c r="E580" s="88"/>
      <c r="F580" s="88"/>
      <c r="G580" s="114"/>
    </row>
    <row r="581">
      <c r="B581" s="87"/>
      <c r="C581" s="88"/>
      <c r="D581" s="88"/>
      <c r="E581" s="88"/>
      <c r="F581" s="88"/>
      <c r="G581" s="114"/>
    </row>
    <row r="582">
      <c r="B582" s="87"/>
      <c r="C582" s="88"/>
      <c r="D582" s="88"/>
      <c r="E582" s="88"/>
      <c r="F582" s="88"/>
      <c r="G582" s="114"/>
    </row>
    <row r="583">
      <c r="B583" s="87"/>
      <c r="C583" s="88"/>
      <c r="D583" s="88"/>
      <c r="E583" s="88"/>
      <c r="F583" s="88"/>
      <c r="G583" s="114"/>
    </row>
    <row r="584">
      <c r="B584" s="87"/>
      <c r="C584" s="88"/>
      <c r="D584" s="88"/>
      <c r="E584" s="88"/>
      <c r="F584" s="88"/>
      <c r="G584" s="114"/>
    </row>
    <row r="585">
      <c r="B585" s="87"/>
      <c r="C585" s="88"/>
      <c r="D585" s="88"/>
      <c r="E585" s="88"/>
      <c r="F585" s="88"/>
      <c r="G585" s="114"/>
    </row>
    <row r="586">
      <c r="B586" s="87"/>
      <c r="C586" s="88"/>
      <c r="D586" s="88"/>
      <c r="E586" s="88"/>
      <c r="F586" s="88"/>
      <c r="G586" s="114"/>
    </row>
    <row r="587">
      <c r="B587" s="87"/>
      <c r="C587" s="88"/>
      <c r="D587" s="88"/>
      <c r="E587" s="88"/>
      <c r="F587" s="88"/>
      <c r="G587" s="114"/>
    </row>
    <row r="588">
      <c r="B588" s="87"/>
      <c r="C588" s="88"/>
      <c r="D588" s="88"/>
      <c r="E588" s="88"/>
      <c r="F588" s="88"/>
      <c r="G588" s="114"/>
    </row>
    <row r="589">
      <c r="B589" s="87"/>
      <c r="C589" s="88"/>
      <c r="D589" s="88"/>
      <c r="E589" s="88"/>
      <c r="F589" s="88"/>
      <c r="G589" s="114"/>
    </row>
    <row r="590">
      <c r="B590" s="87"/>
      <c r="C590" s="88"/>
      <c r="D590" s="88"/>
      <c r="E590" s="88"/>
      <c r="F590" s="88"/>
      <c r="G590" s="114"/>
    </row>
    <row r="591">
      <c r="B591" s="87"/>
      <c r="C591" s="88"/>
      <c r="D591" s="88"/>
      <c r="E591" s="88"/>
      <c r="F591" s="88"/>
      <c r="G591" s="114"/>
    </row>
    <row r="592">
      <c r="B592" s="87"/>
      <c r="C592" s="88"/>
      <c r="D592" s="88"/>
      <c r="E592" s="88"/>
      <c r="F592" s="88"/>
      <c r="G592" s="114"/>
    </row>
    <row r="593">
      <c r="B593" s="87"/>
      <c r="C593" s="88"/>
      <c r="D593" s="88"/>
      <c r="E593" s="88"/>
      <c r="F593" s="88"/>
      <c r="G593" s="114"/>
    </row>
    <row r="594">
      <c r="B594" s="87"/>
      <c r="C594" s="88"/>
      <c r="D594" s="88"/>
      <c r="E594" s="88"/>
      <c r="F594" s="88"/>
      <c r="G594" s="114"/>
    </row>
    <row r="595">
      <c r="B595" s="87"/>
      <c r="C595" s="88"/>
      <c r="D595" s="88"/>
      <c r="E595" s="88"/>
      <c r="F595" s="88"/>
      <c r="G595" s="114"/>
    </row>
    <row r="596">
      <c r="B596" s="87"/>
      <c r="C596" s="88"/>
      <c r="D596" s="88"/>
      <c r="E596" s="88"/>
      <c r="F596" s="88"/>
      <c r="G596" s="114"/>
    </row>
    <row r="597">
      <c r="B597" s="87"/>
      <c r="C597" s="88"/>
      <c r="D597" s="88"/>
      <c r="E597" s="88"/>
      <c r="F597" s="88"/>
      <c r="G597" s="114"/>
    </row>
    <row r="598">
      <c r="B598" s="87"/>
      <c r="C598" s="88"/>
      <c r="D598" s="88"/>
      <c r="E598" s="88"/>
      <c r="F598" s="88"/>
      <c r="G598" s="114"/>
    </row>
    <row r="599">
      <c r="B599" s="87"/>
      <c r="C599" s="88"/>
      <c r="D599" s="88"/>
      <c r="E599" s="88"/>
      <c r="F599" s="88"/>
      <c r="G599" s="114"/>
    </row>
    <row r="600">
      <c r="B600" s="87"/>
      <c r="C600" s="88"/>
      <c r="D600" s="88"/>
      <c r="E600" s="88"/>
      <c r="F600" s="88"/>
      <c r="G600" s="114"/>
    </row>
    <row r="601">
      <c r="B601" s="87"/>
      <c r="C601" s="88"/>
      <c r="D601" s="88"/>
      <c r="E601" s="88"/>
      <c r="F601" s="88"/>
      <c r="G601" s="114"/>
    </row>
    <row r="602">
      <c r="B602" s="87"/>
      <c r="C602" s="88"/>
      <c r="D602" s="88"/>
      <c r="E602" s="88"/>
      <c r="F602" s="88"/>
      <c r="G602" s="114"/>
    </row>
    <row r="603">
      <c r="B603" s="87"/>
      <c r="C603" s="88"/>
      <c r="D603" s="88"/>
      <c r="E603" s="88"/>
      <c r="F603" s="88"/>
      <c r="G603" s="114"/>
    </row>
    <row r="604">
      <c r="B604" s="87"/>
      <c r="C604" s="88"/>
      <c r="D604" s="88"/>
      <c r="E604" s="88"/>
      <c r="F604" s="88"/>
      <c r="G604" s="114"/>
    </row>
    <row r="605">
      <c r="B605" s="87"/>
      <c r="C605" s="88"/>
      <c r="D605" s="88"/>
      <c r="E605" s="88"/>
      <c r="F605" s="88"/>
      <c r="G605" s="114"/>
    </row>
    <row r="606">
      <c r="B606" s="87"/>
      <c r="C606" s="88"/>
      <c r="D606" s="88"/>
      <c r="E606" s="88"/>
      <c r="F606" s="88"/>
      <c r="G606" s="114"/>
    </row>
    <row r="607">
      <c r="B607" s="87"/>
      <c r="C607" s="88"/>
      <c r="D607" s="88"/>
      <c r="E607" s="88"/>
      <c r="F607" s="88"/>
      <c r="G607" s="114"/>
    </row>
    <row r="608">
      <c r="B608" s="87"/>
      <c r="C608" s="88"/>
      <c r="D608" s="88"/>
      <c r="E608" s="88"/>
      <c r="F608" s="88"/>
      <c r="G608" s="114"/>
    </row>
    <row r="609">
      <c r="B609" s="87"/>
      <c r="C609" s="88"/>
      <c r="D609" s="88"/>
      <c r="E609" s="88"/>
      <c r="F609" s="88"/>
      <c r="G609" s="114"/>
    </row>
    <row r="610">
      <c r="B610" s="87"/>
      <c r="C610" s="88"/>
      <c r="D610" s="88"/>
      <c r="E610" s="88"/>
      <c r="F610" s="88"/>
      <c r="G610" s="114"/>
    </row>
    <row r="611">
      <c r="B611" s="87"/>
      <c r="C611" s="88"/>
      <c r="D611" s="88"/>
      <c r="E611" s="88"/>
      <c r="F611" s="88"/>
      <c r="G611" s="114"/>
    </row>
    <row r="612">
      <c r="B612" s="87"/>
      <c r="C612" s="88"/>
      <c r="D612" s="88"/>
      <c r="E612" s="88"/>
      <c r="F612" s="88"/>
      <c r="G612" s="114"/>
    </row>
    <row r="613">
      <c r="B613" s="87"/>
      <c r="C613" s="88"/>
      <c r="D613" s="88"/>
      <c r="E613" s="88"/>
      <c r="F613" s="88"/>
      <c r="G613" s="114"/>
    </row>
    <row r="614">
      <c r="B614" s="87"/>
      <c r="C614" s="88"/>
      <c r="D614" s="88"/>
      <c r="E614" s="88"/>
      <c r="F614" s="88"/>
      <c r="G614" s="114"/>
    </row>
    <row r="615">
      <c r="B615" s="87"/>
      <c r="C615" s="88"/>
      <c r="D615" s="88"/>
      <c r="E615" s="88"/>
      <c r="F615" s="88"/>
      <c r="G615" s="114"/>
    </row>
    <row r="616">
      <c r="B616" s="87"/>
      <c r="C616" s="88"/>
      <c r="D616" s="88"/>
      <c r="E616" s="88"/>
      <c r="F616" s="88"/>
      <c r="G616" s="114"/>
    </row>
    <row r="617">
      <c r="B617" s="87"/>
      <c r="C617" s="88"/>
      <c r="D617" s="88"/>
      <c r="E617" s="88"/>
      <c r="F617" s="88"/>
      <c r="G617" s="114"/>
    </row>
    <row r="618">
      <c r="B618" s="87"/>
      <c r="C618" s="88"/>
      <c r="D618" s="88"/>
      <c r="E618" s="88"/>
      <c r="F618" s="88"/>
      <c r="G618" s="114"/>
    </row>
    <row r="619">
      <c r="B619" s="87"/>
      <c r="C619" s="88"/>
      <c r="D619" s="88"/>
      <c r="E619" s="88"/>
      <c r="F619" s="88"/>
      <c r="G619" s="114"/>
    </row>
    <row r="620">
      <c r="B620" s="87"/>
      <c r="C620" s="88"/>
      <c r="D620" s="88"/>
      <c r="E620" s="88"/>
      <c r="F620" s="88"/>
      <c r="G620" s="114"/>
    </row>
    <row r="621">
      <c r="B621" s="87"/>
      <c r="C621" s="88"/>
      <c r="D621" s="88"/>
      <c r="E621" s="88"/>
      <c r="F621" s="88"/>
      <c r="G621" s="114"/>
    </row>
    <row r="622">
      <c r="B622" s="87"/>
      <c r="C622" s="88"/>
      <c r="D622" s="88"/>
      <c r="E622" s="88"/>
      <c r="F622" s="88"/>
      <c r="G622" s="114"/>
    </row>
    <row r="623">
      <c r="B623" s="87"/>
      <c r="C623" s="88"/>
      <c r="D623" s="88"/>
      <c r="E623" s="88"/>
      <c r="F623" s="88"/>
      <c r="G623" s="114"/>
    </row>
    <row r="624">
      <c r="B624" s="87"/>
      <c r="C624" s="88"/>
      <c r="D624" s="88"/>
      <c r="E624" s="88"/>
      <c r="F624" s="88"/>
      <c r="G624" s="114"/>
    </row>
    <row r="625">
      <c r="B625" s="87"/>
      <c r="C625" s="88"/>
      <c r="D625" s="88"/>
      <c r="E625" s="88"/>
      <c r="F625" s="88"/>
      <c r="G625" s="114"/>
    </row>
    <row r="626">
      <c r="B626" s="87"/>
      <c r="C626" s="88"/>
      <c r="D626" s="88"/>
      <c r="E626" s="88"/>
      <c r="F626" s="88"/>
      <c r="G626" s="114"/>
    </row>
    <row r="627">
      <c r="B627" s="87"/>
      <c r="C627" s="88"/>
      <c r="D627" s="88"/>
      <c r="E627" s="88"/>
      <c r="F627" s="88"/>
      <c r="G627" s="114"/>
    </row>
    <row r="628">
      <c r="B628" s="87"/>
      <c r="C628" s="88"/>
      <c r="D628" s="88"/>
      <c r="E628" s="88"/>
      <c r="F628" s="88"/>
      <c r="G628" s="114"/>
    </row>
    <row r="629">
      <c r="B629" s="87"/>
      <c r="C629" s="88"/>
      <c r="D629" s="88"/>
      <c r="E629" s="88"/>
      <c r="F629" s="88"/>
      <c r="G629" s="114"/>
    </row>
    <row r="630">
      <c r="B630" s="87"/>
      <c r="C630" s="88"/>
      <c r="D630" s="88"/>
      <c r="E630" s="88"/>
      <c r="F630" s="88"/>
      <c r="G630" s="114"/>
    </row>
    <row r="631">
      <c r="B631" s="87"/>
      <c r="C631" s="88"/>
      <c r="D631" s="88"/>
      <c r="E631" s="88"/>
      <c r="F631" s="88"/>
      <c r="G631" s="114"/>
    </row>
    <row r="632">
      <c r="B632" s="87"/>
      <c r="C632" s="88"/>
      <c r="D632" s="88"/>
      <c r="E632" s="88"/>
      <c r="F632" s="88"/>
      <c r="G632" s="114"/>
    </row>
    <row r="633">
      <c r="B633" s="87"/>
      <c r="C633" s="88"/>
      <c r="D633" s="88"/>
      <c r="E633" s="88"/>
      <c r="F633" s="88"/>
      <c r="G633" s="114"/>
    </row>
    <row r="634">
      <c r="B634" s="87"/>
      <c r="C634" s="88"/>
      <c r="D634" s="88"/>
      <c r="E634" s="88"/>
      <c r="F634" s="88"/>
      <c r="G634" s="114"/>
    </row>
    <row r="635">
      <c r="B635" s="87"/>
      <c r="C635" s="88"/>
      <c r="D635" s="88"/>
      <c r="E635" s="88"/>
      <c r="F635" s="88"/>
      <c r="G635" s="114"/>
    </row>
    <row r="636">
      <c r="B636" s="87"/>
      <c r="C636" s="88"/>
      <c r="D636" s="88"/>
      <c r="E636" s="88"/>
      <c r="F636" s="88"/>
      <c r="G636" s="114"/>
    </row>
    <row r="637">
      <c r="B637" s="87"/>
      <c r="C637" s="88"/>
      <c r="D637" s="88"/>
      <c r="E637" s="88"/>
      <c r="F637" s="88"/>
      <c r="G637" s="114"/>
    </row>
    <row r="638">
      <c r="B638" s="87"/>
      <c r="C638" s="88"/>
      <c r="D638" s="88"/>
      <c r="E638" s="88"/>
      <c r="F638" s="88"/>
      <c r="G638" s="114"/>
    </row>
    <row r="639">
      <c r="B639" s="87"/>
      <c r="C639" s="88"/>
      <c r="D639" s="88"/>
      <c r="E639" s="88"/>
      <c r="F639" s="88"/>
      <c r="G639" s="114"/>
    </row>
    <row r="640">
      <c r="B640" s="87"/>
      <c r="C640" s="88"/>
      <c r="D640" s="88"/>
      <c r="E640" s="88"/>
      <c r="F640" s="88"/>
      <c r="G640" s="114"/>
    </row>
    <row r="641">
      <c r="B641" s="87"/>
      <c r="C641" s="88"/>
      <c r="D641" s="88"/>
      <c r="E641" s="88"/>
      <c r="F641" s="88"/>
      <c r="G641" s="114"/>
    </row>
    <row r="642">
      <c r="B642" s="87"/>
      <c r="C642" s="88"/>
      <c r="D642" s="88"/>
      <c r="E642" s="88"/>
      <c r="F642" s="88"/>
      <c r="G642" s="114"/>
    </row>
    <row r="643">
      <c r="B643" s="87"/>
      <c r="C643" s="88"/>
      <c r="D643" s="88"/>
      <c r="E643" s="88"/>
      <c r="F643" s="88"/>
      <c r="G643" s="114"/>
    </row>
    <row r="644">
      <c r="B644" s="87"/>
      <c r="C644" s="88"/>
      <c r="D644" s="88"/>
      <c r="E644" s="88"/>
      <c r="F644" s="88"/>
      <c r="G644" s="114"/>
    </row>
    <row r="645">
      <c r="B645" s="87"/>
      <c r="C645" s="88"/>
      <c r="D645" s="88"/>
      <c r="E645" s="88"/>
      <c r="F645" s="88"/>
      <c r="G645" s="114"/>
    </row>
    <row r="646">
      <c r="B646" s="87"/>
      <c r="C646" s="88"/>
      <c r="D646" s="88"/>
      <c r="E646" s="88"/>
      <c r="F646" s="88"/>
      <c r="G646" s="114"/>
    </row>
    <row r="647">
      <c r="B647" s="87"/>
      <c r="C647" s="88"/>
      <c r="D647" s="88"/>
      <c r="E647" s="88"/>
      <c r="F647" s="88"/>
      <c r="G647" s="114"/>
    </row>
    <row r="648">
      <c r="B648" s="87"/>
      <c r="C648" s="88"/>
      <c r="D648" s="88"/>
      <c r="E648" s="88"/>
      <c r="F648" s="88"/>
      <c r="G648" s="114"/>
    </row>
    <row r="649">
      <c r="B649" s="87"/>
      <c r="C649" s="88"/>
      <c r="D649" s="88"/>
      <c r="E649" s="88"/>
      <c r="F649" s="88"/>
      <c r="G649" s="114"/>
    </row>
    <row r="650">
      <c r="B650" s="87"/>
      <c r="C650" s="88"/>
      <c r="D650" s="88"/>
      <c r="E650" s="88"/>
      <c r="F650" s="88"/>
      <c r="G650" s="114"/>
    </row>
    <row r="651">
      <c r="B651" s="87"/>
      <c r="C651" s="88"/>
      <c r="D651" s="88"/>
      <c r="E651" s="88"/>
      <c r="F651" s="88"/>
      <c r="G651" s="114"/>
    </row>
    <row r="652">
      <c r="B652" s="87"/>
      <c r="C652" s="88"/>
      <c r="D652" s="88"/>
      <c r="E652" s="88"/>
      <c r="F652" s="88"/>
      <c r="G652" s="114"/>
    </row>
    <row r="653">
      <c r="B653" s="87"/>
      <c r="C653" s="88"/>
      <c r="D653" s="88"/>
      <c r="E653" s="88"/>
      <c r="F653" s="88"/>
      <c r="G653" s="114"/>
    </row>
    <row r="654">
      <c r="B654" s="87"/>
      <c r="C654" s="88"/>
      <c r="D654" s="88"/>
      <c r="E654" s="88"/>
      <c r="F654" s="88"/>
      <c r="G654" s="114"/>
    </row>
    <row r="655">
      <c r="B655" s="87"/>
      <c r="C655" s="88"/>
      <c r="D655" s="88"/>
      <c r="E655" s="88"/>
      <c r="F655" s="88"/>
      <c r="G655" s="114"/>
    </row>
    <row r="656">
      <c r="B656" s="87"/>
      <c r="C656" s="88"/>
      <c r="D656" s="88"/>
      <c r="E656" s="88"/>
      <c r="F656" s="88"/>
      <c r="G656" s="114"/>
    </row>
    <row r="657">
      <c r="B657" s="87"/>
      <c r="C657" s="88"/>
      <c r="D657" s="88"/>
      <c r="E657" s="88"/>
      <c r="F657" s="88"/>
      <c r="G657" s="114"/>
    </row>
    <row r="658">
      <c r="B658" s="87"/>
      <c r="C658" s="88"/>
      <c r="D658" s="88"/>
      <c r="E658" s="88"/>
      <c r="F658" s="88"/>
      <c r="G658" s="114"/>
    </row>
    <row r="659">
      <c r="B659" s="87"/>
      <c r="C659" s="88"/>
      <c r="D659" s="88"/>
      <c r="E659" s="88"/>
      <c r="F659" s="88"/>
      <c r="G659" s="114"/>
    </row>
    <row r="660">
      <c r="B660" s="87"/>
      <c r="C660" s="88"/>
      <c r="D660" s="88"/>
      <c r="E660" s="88"/>
      <c r="F660" s="88"/>
      <c r="G660" s="114"/>
    </row>
    <row r="661">
      <c r="B661" s="87"/>
      <c r="C661" s="88"/>
      <c r="D661" s="88"/>
      <c r="E661" s="88"/>
      <c r="F661" s="88"/>
      <c r="G661" s="114"/>
    </row>
    <row r="662">
      <c r="B662" s="87"/>
      <c r="C662" s="88"/>
      <c r="D662" s="88"/>
      <c r="E662" s="88"/>
      <c r="F662" s="88"/>
      <c r="G662" s="114"/>
    </row>
    <row r="663">
      <c r="B663" s="87"/>
      <c r="C663" s="88"/>
      <c r="D663" s="88"/>
      <c r="E663" s="88"/>
      <c r="F663" s="88"/>
      <c r="G663" s="114"/>
    </row>
    <row r="664">
      <c r="B664" s="87"/>
      <c r="C664" s="88"/>
      <c r="D664" s="88"/>
      <c r="E664" s="88"/>
      <c r="F664" s="88"/>
      <c r="G664" s="114"/>
    </row>
    <row r="665">
      <c r="B665" s="87"/>
      <c r="C665" s="88"/>
      <c r="D665" s="88"/>
      <c r="E665" s="88"/>
      <c r="F665" s="88"/>
      <c r="G665" s="114"/>
    </row>
    <row r="666">
      <c r="B666" s="87"/>
      <c r="C666" s="88"/>
      <c r="D666" s="88"/>
      <c r="E666" s="88"/>
      <c r="F666" s="88"/>
      <c r="G666" s="114"/>
    </row>
    <row r="667">
      <c r="B667" s="87"/>
      <c r="C667" s="88"/>
      <c r="D667" s="88"/>
      <c r="E667" s="88"/>
      <c r="F667" s="88"/>
      <c r="G667" s="114"/>
    </row>
    <row r="668">
      <c r="B668" s="87"/>
      <c r="C668" s="88"/>
      <c r="D668" s="88"/>
      <c r="E668" s="88"/>
      <c r="F668" s="88"/>
      <c r="G668" s="114"/>
    </row>
    <row r="669">
      <c r="B669" s="87"/>
      <c r="C669" s="88"/>
      <c r="D669" s="88"/>
      <c r="E669" s="88"/>
      <c r="F669" s="88"/>
      <c r="G669" s="114"/>
    </row>
    <row r="670">
      <c r="B670" s="87"/>
      <c r="C670" s="88"/>
      <c r="D670" s="88"/>
      <c r="E670" s="88"/>
      <c r="F670" s="88"/>
      <c r="G670" s="114"/>
    </row>
    <row r="671">
      <c r="B671" s="87"/>
      <c r="C671" s="88"/>
      <c r="D671" s="88"/>
      <c r="E671" s="88"/>
      <c r="F671" s="88"/>
      <c r="G671" s="114"/>
    </row>
    <row r="672">
      <c r="B672" s="87"/>
      <c r="C672" s="88"/>
      <c r="D672" s="88"/>
      <c r="E672" s="88"/>
      <c r="F672" s="88"/>
      <c r="G672" s="114"/>
    </row>
    <row r="673">
      <c r="B673" s="87"/>
      <c r="C673" s="88"/>
      <c r="D673" s="88"/>
      <c r="E673" s="88"/>
      <c r="F673" s="88"/>
      <c r="G673" s="114"/>
    </row>
    <row r="674">
      <c r="B674" s="87"/>
      <c r="C674" s="88"/>
      <c r="D674" s="88"/>
      <c r="E674" s="88"/>
      <c r="F674" s="88"/>
      <c r="G674" s="114"/>
    </row>
    <row r="675">
      <c r="B675" s="87"/>
      <c r="C675" s="88"/>
      <c r="D675" s="88"/>
      <c r="E675" s="88"/>
      <c r="F675" s="88"/>
      <c r="G675" s="114"/>
    </row>
    <row r="676">
      <c r="B676" s="87"/>
      <c r="C676" s="88"/>
      <c r="D676" s="88"/>
      <c r="E676" s="88"/>
      <c r="F676" s="88"/>
      <c r="G676" s="114"/>
    </row>
    <row r="677">
      <c r="B677" s="87"/>
      <c r="C677" s="88"/>
      <c r="D677" s="88"/>
      <c r="E677" s="88"/>
      <c r="F677" s="88"/>
      <c r="G677" s="114"/>
    </row>
    <row r="678">
      <c r="B678" s="87"/>
      <c r="C678" s="88"/>
      <c r="D678" s="88"/>
      <c r="E678" s="88"/>
      <c r="F678" s="88"/>
      <c r="G678" s="114"/>
    </row>
    <row r="679">
      <c r="B679" s="87"/>
      <c r="C679" s="88"/>
      <c r="D679" s="88"/>
      <c r="E679" s="88"/>
      <c r="F679" s="88"/>
      <c r="G679" s="114"/>
    </row>
    <row r="680">
      <c r="B680" s="87"/>
      <c r="C680" s="88"/>
      <c r="D680" s="88"/>
      <c r="E680" s="88"/>
      <c r="F680" s="88"/>
      <c r="G680" s="114"/>
    </row>
    <row r="681">
      <c r="B681" s="87"/>
      <c r="C681" s="88"/>
      <c r="D681" s="88"/>
      <c r="E681" s="88"/>
      <c r="F681" s="88"/>
      <c r="G681" s="114"/>
    </row>
    <row r="682">
      <c r="B682" s="87"/>
      <c r="C682" s="88"/>
      <c r="D682" s="88"/>
      <c r="E682" s="88"/>
      <c r="F682" s="88"/>
      <c r="G682" s="114"/>
    </row>
    <row r="683">
      <c r="B683" s="87"/>
      <c r="C683" s="88"/>
      <c r="D683" s="88"/>
      <c r="E683" s="88"/>
      <c r="F683" s="88"/>
      <c r="G683" s="114"/>
    </row>
    <row r="684">
      <c r="B684" s="87"/>
      <c r="C684" s="88"/>
      <c r="D684" s="88"/>
      <c r="E684" s="88"/>
      <c r="F684" s="88"/>
      <c r="G684" s="114"/>
    </row>
    <row r="685">
      <c r="B685" s="87"/>
      <c r="C685" s="88"/>
      <c r="D685" s="88"/>
      <c r="E685" s="88"/>
      <c r="F685" s="88"/>
      <c r="G685" s="114"/>
    </row>
    <row r="686">
      <c r="B686" s="87"/>
      <c r="C686" s="88"/>
      <c r="D686" s="88"/>
      <c r="E686" s="88"/>
      <c r="F686" s="88"/>
      <c r="G686" s="114"/>
    </row>
    <row r="687">
      <c r="B687" s="87"/>
      <c r="C687" s="88"/>
      <c r="D687" s="88"/>
      <c r="E687" s="88"/>
      <c r="F687" s="88"/>
      <c r="G687" s="114"/>
    </row>
    <row r="688">
      <c r="B688" s="87"/>
      <c r="C688" s="88"/>
      <c r="D688" s="88"/>
      <c r="E688" s="88"/>
      <c r="F688" s="88"/>
      <c r="G688" s="114"/>
    </row>
    <row r="689">
      <c r="B689" s="87"/>
      <c r="C689" s="88"/>
      <c r="D689" s="88"/>
      <c r="E689" s="88"/>
      <c r="F689" s="88"/>
      <c r="G689" s="114"/>
    </row>
    <row r="690">
      <c r="B690" s="87"/>
      <c r="C690" s="88"/>
      <c r="D690" s="88"/>
      <c r="E690" s="88"/>
      <c r="F690" s="88"/>
      <c r="G690" s="114"/>
    </row>
    <row r="691">
      <c r="B691" s="87"/>
      <c r="C691" s="88"/>
      <c r="D691" s="88"/>
      <c r="E691" s="88"/>
      <c r="F691" s="88"/>
      <c r="G691" s="114"/>
    </row>
    <row r="692">
      <c r="B692" s="87"/>
      <c r="C692" s="88"/>
      <c r="D692" s="88"/>
      <c r="E692" s="88"/>
      <c r="F692" s="88"/>
      <c r="G692" s="114"/>
    </row>
    <row r="693">
      <c r="B693" s="87"/>
      <c r="C693" s="88"/>
      <c r="D693" s="88"/>
      <c r="E693" s="88"/>
      <c r="F693" s="88"/>
      <c r="G693" s="114"/>
    </row>
    <row r="694">
      <c r="B694" s="87"/>
      <c r="C694" s="88"/>
      <c r="D694" s="88"/>
      <c r="E694" s="88"/>
      <c r="F694" s="88"/>
      <c r="G694" s="114"/>
    </row>
    <row r="695">
      <c r="B695" s="87"/>
      <c r="C695" s="88"/>
      <c r="D695" s="88"/>
      <c r="E695" s="88"/>
      <c r="F695" s="88"/>
      <c r="G695" s="114"/>
    </row>
    <row r="696">
      <c r="B696" s="87"/>
      <c r="C696" s="88"/>
      <c r="D696" s="88"/>
      <c r="E696" s="88"/>
      <c r="F696" s="88"/>
      <c r="G696" s="114"/>
    </row>
    <row r="697">
      <c r="B697" s="87"/>
      <c r="C697" s="88"/>
      <c r="D697" s="88"/>
      <c r="E697" s="88"/>
      <c r="F697" s="88"/>
      <c r="G697" s="114"/>
    </row>
    <row r="698">
      <c r="B698" s="87"/>
      <c r="C698" s="88"/>
      <c r="D698" s="88"/>
      <c r="E698" s="88"/>
      <c r="F698" s="88"/>
      <c r="G698" s="114"/>
    </row>
    <row r="699">
      <c r="B699" s="87"/>
      <c r="C699" s="88"/>
      <c r="D699" s="88"/>
      <c r="E699" s="88"/>
      <c r="F699" s="88"/>
      <c r="G699" s="114"/>
    </row>
    <row r="700">
      <c r="B700" s="87"/>
      <c r="C700" s="88"/>
      <c r="D700" s="88"/>
      <c r="E700" s="88"/>
      <c r="F700" s="88"/>
      <c r="G700" s="114"/>
    </row>
    <row r="701">
      <c r="B701" s="87"/>
      <c r="C701" s="88"/>
      <c r="D701" s="88"/>
      <c r="E701" s="88"/>
      <c r="F701" s="88"/>
      <c r="G701" s="114"/>
    </row>
    <row r="702">
      <c r="B702" s="87"/>
      <c r="C702" s="88"/>
      <c r="D702" s="88"/>
      <c r="E702" s="88"/>
      <c r="F702" s="88"/>
      <c r="G702" s="114"/>
    </row>
    <row r="703">
      <c r="B703" s="87"/>
      <c r="C703" s="88"/>
      <c r="D703" s="88"/>
      <c r="E703" s="88"/>
      <c r="F703" s="88"/>
      <c r="G703" s="114"/>
    </row>
    <row r="704">
      <c r="B704" s="87"/>
      <c r="C704" s="88"/>
      <c r="D704" s="88"/>
      <c r="E704" s="88"/>
      <c r="F704" s="88"/>
      <c r="G704" s="114"/>
    </row>
    <row r="705">
      <c r="B705" s="87"/>
      <c r="C705" s="88"/>
      <c r="D705" s="88"/>
      <c r="E705" s="88"/>
      <c r="F705" s="88"/>
      <c r="G705" s="114"/>
    </row>
    <row r="706">
      <c r="B706" s="87"/>
      <c r="C706" s="88"/>
      <c r="D706" s="88"/>
      <c r="E706" s="88"/>
      <c r="F706" s="88"/>
      <c r="G706" s="114"/>
    </row>
    <row r="707">
      <c r="B707" s="87"/>
      <c r="C707" s="88"/>
      <c r="D707" s="88"/>
      <c r="E707" s="88"/>
      <c r="F707" s="88"/>
      <c r="G707" s="114"/>
    </row>
    <row r="708">
      <c r="B708" s="87"/>
      <c r="C708" s="88"/>
      <c r="D708" s="88"/>
      <c r="E708" s="88"/>
      <c r="F708" s="88"/>
      <c r="G708" s="114"/>
    </row>
    <row r="709">
      <c r="B709" s="87"/>
      <c r="C709" s="88"/>
      <c r="D709" s="88"/>
      <c r="E709" s="88"/>
      <c r="F709" s="88"/>
      <c r="G709" s="114"/>
    </row>
    <row r="710">
      <c r="B710" s="87"/>
      <c r="C710" s="88"/>
      <c r="D710" s="88"/>
      <c r="E710" s="88"/>
      <c r="F710" s="88"/>
      <c r="G710" s="114"/>
    </row>
    <row r="711">
      <c r="B711" s="87"/>
      <c r="C711" s="88"/>
      <c r="D711" s="88"/>
      <c r="E711" s="88"/>
      <c r="F711" s="88"/>
      <c r="G711" s="114"/>
    </row>
    <row r="712">
      <c r="B712" s="87"/>
      <c r="C712" s="88"/>
      <c r="D712" s="88"/>
      <c r="E712" s="88"/>
      <c r="F712" s="88"/>
      <c r="G712" s="114"/>
    </row>
    <row r="713">
      <c r="B713" s="87"/>
      <c r="C713" s="88"/>
      <c r="D713" s="88"/>
      <c r="E713" s="88"/>
      <c r="F713" s="88"/>
      <c r="G713" s="114"/>
    </row>
    <row r="714">
      <c r="B714" s="87"/>
      <c r="C714" s="88"/>
      <c r="D714" s="88"/>
      <c r="E714" s="88"/>
      <c r="F714" s="88"/>
      <c r="G714" s="114"/>
    </row>
    <row r="715">
      <c r="B715" s="87"/>
      <c r="C715" s="88"/>
      <c r="D715" s="88"/>
      <c r="E715" s="88"/>
      <c r="F715" s="88"/>
      <c r="G715" s="114"/>
    </row>
    <row r="716">
      <c r="B716" s="87"/>
      <c r="C716" s="88"/>
      <c r="D716" s="88"/>
      <c r="E716" s="88"/>
      <c r="F716" s="88"/>
      <c r="G716" s="114"/>
    </row>
    <row r="717">
      <c r="B717" s="87"/>
      <c r="C717" s="88"/>
      <c r="D717" s="88"/>
      <c r="E717" s="88"/>
      <c r="F717" s="88"/>
      <c r="G717" s="114"/>
    </row>
    <row r="718">
      <c r="B718" s="87"/>
      <c r="C718" s="88"/>
      <c r="D718" s="88"/>
      <c r="E718" s="88"/>
      <c r="F718" s="88"/>
      <c r="G718" s="114"/>
    </row>
    <row r="719">
      <c r="B719" s="87"/>
      <c r="C719" s="88"/>
      <c r="D719" s="88"/>
      <c r="E719" s="88"/>
      <c r="F719" s="88"/>
      <c r="G719" s="114"/>
    </row>
    <row r="720">
      <c r="B720" s="87"/>
      <c r="C720" s="88"/>
      <c r="D720" s="88"/>
      <c r="E720" s="88"/>
      <c r="F720" s="88"/>
      <c r="G720" s="114"/>
    </row>
    <row r="721">
      <c r="B721" s="87"/>
      <c r="C721" s="88"/>
      <c r="D721" s="88"/>
      <c r="E721" s="88"/>
      <c r="F721" s="88"/>
      <c r="G721" s="114"/>
    </row>
    <row r="722">
      <c r="B722" s="87"/>
      <c r="C722" s="88"/>
      <c r="D722" s="88"/>
      <c r="E722" s="88"/>
      <c r="F722" s="88"/>
      <c r="G722" s="114"/>
    </row>
    <row r="723">
      <c r="B723" s="87"/>
      <c r="C723" s="88"/>
      <c r="D723" s="88"/>
      <c r="E723" s="88"/>
      <c r="F723" s="88"/>
      <c r="G723" s="114"/>
    </row>
    <row r="724">
      <c r="B724" s="87"/>
      <c r="C724" s="88"/>
      <c r="D724" s="88"/>
      <c r="E724" s="88"/>
      <c r="F724" s="88"/>
      <c r="G724" s="114"/>
    </row>
    <row r="725">
      <c r="B725" s="87"/>
      <c r="C725" s="88"/>
      <c r="D725" s="88"/>
      <c r="E725" s="88"/>
      <c r="F725" s="88"/>
      <c r="G725" s="114"/>
    </row>
    <row r="726">
      <c r="B726" s="87"/>
      <c r="C726" s="88"/>
      <c r="D726" s="88"/>
      <c r="E726" s="88"/>
      <c r="F726" s="88"/>
      <c r="G726" s="114"/>
    </row>
    <row r="727">
      <c r="B727" s="87"/>
      <c r="C727" s="88"/>
      <c r="D727" s="88"/>
      <c r="E727" s="88"/>
      <c r="F727" s="88"/>
      <c r="G727" s="114"/>
    </row>
    <row r="728">
      <c r="B728" s="87"/>
      <c r="C728" s="88"/>
      <c r="D728" s="88"/>
      <c r="E728" s="88"/>
      <c r="F728" s="88"/>
      <c r="G728" s="114"/>
    </row>
    <row r="729">
      <c r="B729" s="87"/>
      <c r="C729" s="88"/>
      <c r="D729" s="88"/>
      <c r="E729" s="88"/>
      <c r="F729" s="88"/>
      <c r="G729" s="114"/>
    </row>
    <row r="730">
      <c r="B730" s="87"/>
      <c r="C730" s="88"/>
      <c r="D730" s="88"/>
      <c r="E730" s="88"/>
      <c r="F730" s="88"/>
      <c r="G730" s="114"/>
    </row>
    <row r="731">
      <c r="B731" s="87"/>
      <c r="C731" s="88"/>
      <c r="D731" s="88"/>
      <c r="E731" s="88"/>
      <c r="F731" s="88"/>
      <c r="G731" s="114"/>
    </row>
    <row r="732">
      <c r="B732" s="87"/>
      <c r="C732" s="88"/>
      <c r="D732" s="88"/>
      <c r="E732" s="88"/>
      <c r="F732" s="88"/>
      <c r="G732" s="114"/>
    </row>
    <row r="733">
      <c r="B733" s="87"/>
      <c r="C733" s="88"/>
      <c r="D733" s="88"/>
      <c r="E733" s="88"/>
      <c r="F733" s="88"/>
      <c r="G733" s="114"/>
    </row>
    <row r="734">
      <c r="B734" s="87"/>
      <c r="C734" s="88"/>
      <c r="D734" s="88"/>
      <c r="E734" s="88"/>
      <c r="F734" s="88"/>
      <c r="G734" s="114"/>
    </row>
    <row r="735">
      <c r="B735" s="87"/>
      <c r="C735" s="88"/>
      <c r="D735" s="88"/>
      <c r="E735" s="88"/>
      <c r="F735" s="88"/>
      <c r="G735" s="114"/>
    </row>
    <row r="736">
      <c r="B736" s="87"/>
      <c r="C736" s="88"/>
      <c r="D736" s="88"/>
      <c r="E736" s="88"/>
      <c r="F736" s="88"/>
      <c r="G736" s="114"/>
    </row>
    <row r="737">
      <c r="B737" s="87"/>
      <c r="C737" s="88"/>
      <c r="D737" s="88"/>
      <c r="E737" s="88"/>
      <c r="F737" s="88"/>
      <c r="G737" s="114"/>
    </row>
    <row r="738">
      <c r="B738" s="87"/>
      <c r="C738" s="88"/>
      <c r="D738" s="88"/>
      <c r="E738" s="88"/>
      <c r="F738" s="88"/>
      <c r="G738" s="114"/>
    </row>
    <row r="739">
      <c r="B739" s="87"/>
      <c r="C739" s="88"/>
      <c r="D739" s="88"/>
      <c r="E739" s="88"/>
      <c r="F739" s="88"/>
      <c r="G739" s="114"/>
    </row>
    <row r="740">
      <c r="B740" s="87"/>
      <c r="C740" s="88"/>
      <c r="D740" s="88"/>
      <c r="E740" s="88"/>
      <c r="F740" s="88"/>
      <c r="G740" s="114"/>
    </row>
    <row r="741">
      <c r="B741" s="87"/>
      <c r="C741" s="88"/>
      <c r="D741" s="88"/>
      <c r="E741" s="88"/>
      <c r="F741" s="88"/>
      <c r="G741" s="114"/>
    </row>
    <row r="742">
      <c r="B742" s="87"/>
      <c r="C742" s="88"/>
      <c r="D742" s="88"/>
      <c r="E742" s="88"/>
      <c r="F742" s="88"/>
      <c r="G742" s="114"/>
    </row>
    <row r="743">
      <c r="B743" s="87"/>
      <c r="C743" s="88"/>
      <c r="D743" s="88"/>
      <c r="E743" s="88"/>
      <c r="F743" s="88"/>
      <c r="G743" s="114"/>
    </row>
    <row r="744">
      <c r="B744" s="87"/>
      <c r="C744" s="88"/>
      <c r="D744" s="88"/>
      <c r="E744" s="88"/>
      <c r="F744" s="88"/>
      <c r="G744" s="114"/>
    </row>
    <row r="745">
      <c r="B745" s="87"/>
      <c r="C745" s="88"/>
      <c r="D745" s="88"/>
      <c r="E745" s="88"/>
      <c r="F745" s="88"/>
      <c r="G745" s="114"/>
    </row>
    <row r="746">
      <c r="B746" s="87"/>
      <c r="C746" s="88"/>
      <c r="D746" s="88"/>
      <c r="E746" s="88"/>
      <c r="F746" s="88"/>
      <c r="G746" s="114"/>
    </row>
    <row r="747">
      <c r="B747" s="87"/>
      <c r="C747" s="88"/>
      <c r="D747" s="88"/>
      <c r="E747" s="88"/>
      <c r="F747" s="88"/>
      <c r="G747" s="114"/>
    </row>
    <row r="748">
      <c r="B748" s="87"/>
      <c r="C748" s="88"/>
      <c r="D748" s="88"/>
      <c r="E748" s="88"/>
      <c r="F748" s="88"/>
      <c r="G748" s="114"/>
    </row>
    <row r="749">
      <c r="B749" s="87"/>
      <c r="C749" s="88"/>
      <c r="D749" s="88"/>
      <c r="E749" s="88"/>
      <c r="F749" s="88"/>
      <c r="G749" s="114"/>
    </row>
    <row r="750">
      <c r="B750" s="87"/>
      <c r="C750" s="88"/>
      <c r="D750" s="88"/>
      <c r="E750" s="88"/>
      <c r="F750" s="88"/>
      <c r="G750" s="114"/>
    </row>
    <row r="751">
      <c r="B751" s="87"/>
      <c r="C751" s="88"/>
      <c r="D751" s="88"/>
      <c r="E751" s="88"/>
      <c r="F751" s="88"/>
      <c r="G751" s="114"/>
    </row>
    <row r="752">
      <c r="B752" s="87"/>
      <c r="C752" s="88"/>
      <c r="D752" s="88"/>
      <c r="E752" s="88"/>
      <c r="F752" s="88"/>
      <c r="G752" s="114"/>
    </row>
    <row r="753">
      <c r="B753" s="87"/>
      <c r="C753" s="88"/>
      <c r="D753" s="88"/>
      <c r="E753" s="88"/>
      <c r="F753" s="88"/>
      <c r="G753" s="114"/>
    </row>
    <row r="754">
      <c r="B754" s="87"/>
      <c r="C754" s="88"/>
      <c r="D754" s="88"/>
      <c r="E754" s="88"/>
      <c r="F754" s="88"/>
      <c r="G754" s="114"/>
    </row>
    <row r="755">
      <c r="B755" s="87"/>
      <c r="C755" s="88"/>
      <c r="D755" s="88"/>
      <c r="E755" s="88"/>
      <c r="F755" s="88"/>
      <c r="G755" s="114"/>
    </row>
    <row r="756">
      <c r="B756" s="87"/>
      <c r="C756" s="88"/>
      <c r="D756" s="88"/>
      <c r="E756" s="88"/>
      <c r="F756" s="88"/>
      <c r="G756" s="114"/>
    </row>
    <row r="757">
      <c r="B757" s="87"/>
      <c r="C757" s="88"/>
      <c r="D757" s="88"/>
      <c r="E757" s="88"/>
      <c r="F757" s="88"/>
      <c r="G757" s="114"/>
    </row>
    <row r="758">
      <c r="B758" s="87"/>
      <c r="C758" s="88"/>
      <c r="D758" s="88"/>
      <c r="E758" s="88"/>
      <c r="F758" s="88"/>
      <c r="G758" s="114"/>
    </row>
    <row r="759">
      <c r="B759" s="87"/>
      <c r="C759" s="88"/>
      <c r="D759" s="88"/>
      <c r="E759" s="88"/>
      <c r="F759" s="88"/>
      <c r="G759" s="114"/>
    </row>
    <row r="760">
      <c r="B760" s="87"/>
      <c r="C760" s="88"/>
      <c r="D760" s="88"/>
      <c r="E760" s="88"/>
      <c r="F760" s="88"/>
      <c r="G760" s="114"/>
    </row>
    <row r="761">
      <c r="B761" s="87"/>
      <c r="C761" s="88"/>
      <c r="D761" s="88"/>
      <c r="E761" s="88"/>
      <c r="F761" s="88"/>
      <c r="G761" s="114"/>
    </row>
    <row r="762">
      <c r="B762" s="87"/>
      <c r="C762" s="88"/>
      <c r="D762" s="88"/>
      <c r="E762" s="88"/>
      <c r="F762" s="88"/>
      <c r="G762" s="114"/>
    </row>
    <row r="763">
      <c r="B763" s="87"/>
      <c r="C763" s="88"/>
      <c r="D763" s="88"/>
      <c r="E763" s="88"/>
      <c r="F763" s="88"/>
      <c r="G763" s="114"/>
    </row>
    <row r="764">
      <c r="B764" s="87"/>
      <c r="C764" s="88"/>
      <c r="D764" s="88"/>
      <c r="E764" s="88"/>
      <c r="F764" s="88"/>
      <c r="G764" s="114"/>
    </row>
    <row r="765">
      <c r="B765" s="87"/>
      <c r="C765" s="88"/>
      <c r="D765" s="88"/>
      <c r="E765" s="88"/>
      <c r="F765" s="88"/>
      <c r="G765" s="114"/>
    </row>
    <row r="766">
      <c r="B766" s="87"/>
      <c r="C766" s="88"/>
      <c r="D766" s="88"/>
      <c r="E766" s="88"/>
      <c r="F766" s="88"/>
      <c r="G766" s="114"/>
    </row>
    <row r="767">
      <c r="B767" s="87"/>
      <c r="C767" s="88"/>
      <c r="D767" s="88"/>
      <c r="E767" s="88"/>
      <c r="F767" s="88"/>
      <c r="G767" s="114"/>
    </row>
    <row r="768">
      <c r="B768" s="87"/>
      <c r="C768" s="88"/>
      <c r="D768" s="88"/>
      <c r="E768" s="88"/>
      <c r="F768" s="88"/>
      <c r="G768" s="114"/>
    </row>
    <row r="769">
      <c r="B769" s="87"/>
      <c r="C769" s="88"/>
      <c r="D769" s="88"/>
      <c r="E769" s="88"/>
      <c r="F769" s="88"/>
      <c r="G769" s="114"/>
    </row>
    <row r="770">
      <c r="B770" s="87"/>
      <c r="C770" s="88"/>
      <c r="D770" s="88"/>
      <c r="E770" s="88"/>
      <c r="F770" s="88"/>
      <c r="G770" s="114"/>
    </row>
    <row r="771">
      <c r="B771" s="87"/>
      <c r="C771" s="88"/>
      <c r="D771" s="88"/>
      <c r="E771" s="88"/>
      <c r="F771" s="88"/>
      <c r="G771" s="114"/>
    </row>
    <row r="772">
      <c r="B772" s="87"/>
      <c r="C772" s="88"/>
      <c r="D772" s="88"/>
      <c r="E772" s="88"/>
      <c r="F772" s="88"/>
      <c r="G772" s="114"/>
    </row>
    <row r="773">
      <c r="B773" s="87"/>
      <c r="C773" s="88"/>
      <c r="D773" s="88"/>
      <c r="E773" s="88"/>
      <c r="F773" s="88"/>
      <c r="G773" s="114"/>
    </row>
    <row r="774">
      <c r="B774" s="87"/>
      <c r="C774" s="88"/>
      <c r="D774" s="88"/>
      <c r="E774" s="88"/>
      <c r="F774" s="88"/>
      <c r="G774" s="114"/>
    </row>
    <row r="775">
      <c r="B775" s="87"/>
      <c r="C775" s="88"/>
      <c r="D775" s="88"/>
      <c r="E775" s="88"/>
      <c r="F775" s="88"/>
      <c r="G775" s="114"/>
    </row>
    <row r="776">
      <c r="B776" s="87"/>
      <c r="C776" s="88"/>
      <c r="D776" s="88"/>
      <c r="E776" s="88"/>
      <c r="F776" s="88"/>
      <c r="G776" s="114"/>
    </row>
    <row r="777">
      <c r="B777" s="87"/>
      <c r="C777" s="88"/>
      <c r="D777" s="88"/>
      <c r="E777" s="88"/>
      <c r="F777" s="88"/>
      <c r="G777" s="114"/>
    </row>
    <row r="778">
      <c r="B778" s="87"/>
      <c r="C778" s="88"/>
      <c r="D778" s="88"/>
      <c r="E778" s="88"/>
      <c r="F778" s="88"/>
      <c r="G778" s="114"/>
    </row>
    <row r="779">
      <c r="B779" s="87"/>
      <c r="C779" s="88"/>
      <c r="D779" s="88"/>
      <c r="E779" s="88"/>
      <c r="F779" s="88"/>
      <c r="G779" s="114"/>
    </row>
    <row r="780">
      <c r="B780" s="87"/>
      <c r="C780" s="88"/>
      <c r="D780" s="88"/>
      <c r="E780" s="88"/>
      <c r="F780" s="88"/>
      <c r="G780" s="114"/>
    </row>
    <row r="781">
      <c r="B781" s="87"/>
      <c r="C781" s="88"/>
      <c r="D781" s="88"/>
      <c r="E781" s="88"/>
      <c r="F781" s="88"/>
      <c r="G781" s="114"/>
    </row>
    <row r="782">
      <c r="B782" s="87"/>
      <c r="C782" s="88"/>
      <c r="D782" s="88"/>
      <c r="E782" s="88"/>
      <c r="F782" s="88"/>
      <c r="G782" s="114"/>
    </row>
    <row r="783">
      <c r="B783" s="87"/>
      <c r="C783" s="88"/>
      <c r="D783" s="88"/>
      <c r="E783" s="88"/>
      <c r="F783" s="88"/>
      <c r="G783" s="114"/>
    </row>
    <row r="784">
      <c r="B784" s="87"/>
      <c r="C784" s="88"/>
      <c r="D784" s="88"/>
      <c r="E784" s="88"/>
      <c r="F784" s="88"/>
      <c r="G784" s="114"/>
    </row>
    <row r="785">
      <c r="B785" s="87"/>
      <c r="C785" s="88"/>
      <c r="D785" s="88"/>
      <c r="E785" s="88"/>
      <c r="F785" s="88"/>
      <c r="G785" s="114"/>
    </row>
    <row r="786">
      <c r="B786" s="87"/>
      <c r="C786" s="88"/>
      <c r="D786" s="88"/>
      <c r="E786" s="88"/>
      <c r="F786" s="88"/>
      <c r="G786" s="114"/>
    </row>
    <row r="787">
      <c r="B787" s="87"/>
      <c r="C787" s="88"/>
      <c r="D787" s="88"/>
      <c r="E787" s="88"/>
      <c r="F787" s="88"/>
      <c r="G787" s="114"/>
    </row>
    <row r="788">
      <c r="B788" s="87"/>
      <c r="C788" s="88"/>
      <c r="D788" s="88"/>
      <c r="E788" s="88"/>
      <c r="F788" s="88"/>
      <c r="G788" s="114"/>
    </row>
    <row r="789">
      <c r="B789" s="87"/>
      <c r="C789" s="88"/>
      <c r="D789" s="88"/>
      <c r="E789" s="88"/>
      <c r="F789" s="88"/>
      <c r="G789" s="114"/>
    </row>
    <row r="790">
      <c r="B790" s="87"/>
      <c r="C790" s="88"/>
      <c r="D790" s="88"/>
      <c r="E790" s="88"/>
      <c r="F790" s="88"/>
      <c r="G790" s="114"/>
    </row>
    <row r="791">
      <c r="B791" s="87"/>
      <c r="C791" s="88"/>
      <c r="D791" s="88"/>
      <c r="E791" s="88"/>
      <c r="F791" s="88"/>
      <c r="G791" s="114"/>
    </row>
    <row r="792">
      <c r="B792" s="87"/>
      <c r="C792" s="88"/>
      <c r="D792" s="88"/>
      <c r="E792" s="88"/>
      <c r="F792" s="88"/>
      <c r="G792" s="114"/>
    </row>
    <row r="793">
      <c r="B793" s="87"/>
      <c r="C793" s="88"/>
      <c r="D793" s="88"/>
      <c r="E793" s="88"/>
      <c r="F793" s="88"/>
      <c r="G793" s="114"/>
    </row>
    <row r="794">
      <c r="B794" s="87"/>
      <c r="C794" s="88"/>
      <c r="D794" s="88"/>
      <c r="E794" s="88"/>
      <c r="F794" s="88"/>
      <c r="G794" s="114"/>
    </row>
    <row r="795">
      <c r="B795" s="87"/>
      <c r="C795" s="88"/>
      <c r="D795" s="88"/>
      <c r="E795" s="88"/>
      <c r="F795" s="88"/>
      <c r="G795" s="114"/>
    </row>
    <row r="796">
      <c r="B796" s="87"/>
      <c r="C796" s="88"/>
      <c r="D796" s="88"/>
      <c r="E796" s="88"/>
      <c r="F796" s="88"/>
      <c r="G796" s="114"/>
    </row>
    <row r="797">
      <c r="B797" s="87"/>
      <c r="C797" s="88"/>
      <c r="D797" s="88"/>
      <c r="E797" s="88"/>
      <c r="F797" s="88"/>
      <c r="G797" s="114"/>
    </row>
    <row r="798">
      <c r="B798" s="87"/>
      <c r="C798" s="88"/>
      <c r="D798" s="88"/>
      <c r="E798" s="88"/>
      <c r="F798" s="88"/>
      <c r="G798" s="114"/>
    </row>
    <row r="799">
      <c r="B799" s="87"/>
      <c r="C799" s="88"/>
      <c r="D799" s="88"/>
      <c r="E799" s="88"/>
      <c r="F799" s="88"/>
      <c r="G799" s="114"/>
    </row>
    <row r="800">
      <c r="B800" s="87"/>
      <c r="C800" s="88"/>
      <c r="D800" s="88"/>
      <c r="E800" s="88"/>
      <c r="F800" s="88"/>
      <c r="G800" s="114"/>
    </row>
    <row r="801">
      <c r="B801" s="87"/>
      <c r="C801" s="88"/>
      <c r="D801" s="88"/>
      <c r="E801" s="88"/>
      <c r="F801" s="88"/>
      <c r="G801" s="114"/>
    </row>
    <row r="802">
      <c r="B802" s="87"/>
      <c r="C802" s="88"/>
      <c r="D802" s="88"/>
      <c r="E802" s="88"/>
      <c r="F802" s="88"/>
      <c r="G802" s="114"/>
    </row>
    <row r="803">
      <c r="B803" s="87"/>
      <c r="C803" s="88"/>
      <c r="D803" s="88"/>
      <c r="E803" s="88"/>
      <c r="F803" s="88"/>
      <c r="G803" s="114"/>
    </row>
    <row r="804">
      <c r="B804" s="87"/>
      <c r="C804" s="88"/>
      <c r="D804" s="88"/>
      <c r="E804" s="88"/>
      <c r="F804" s="88"/>
      <c r="G804" s="114"/>
    </row>
    <row r="805">
      <c r="B805" s="87"/>
      <c r="C805" s="88"/>
      <c r="D805" s="88"/>
      <c r="E805" s="88"/>
      <c r="F805" s="88"/>
      <c r="G805" s="114"/>
    </row>
    <row r="806">
      <c r="B806" s="87"/>
      <c r="C806" s="88"/>
      <c r="D806" s="88"/>
      <c r="E806" s="88"/>
      <c r="F806" s="88"/>
      <c r="G806" s="114"/>
    </row>
    <row r="807">
      <c r="B807" s="87"/>
      <c r="C807" s="88"/>
      <c r="D807" s="88"/>
      <c r="E807" s="88"/>
      <c r="F807" s="88"/>
      <c r="G807" s="114"/>
    </row>
    <row r="808">
      <c r="B808" s="87"/>
      <c r="C808" s="88"/>
      <c r="D808" s="88"/>
      <c r="E808" s="88"/>
      <c r="F808" s="88"/>
      <c r="G808" s="114"/>
    </row>
    <row r="809">
      <c r="B809" s="87"/>
      <c r="C809" s="88"/>
      <c r="D809" s="88"/>
      <c r="E809" s="88"/>
      <c r="F809" s="88"/>
      <c r="G809" s="114"/>
    </row>
    <row r="810">
      <c r="B810" s="87"/>
      <c r="C810" s="88"/>
      <c r="D810" s="88"/>
      <c r="E810" s="88"/>
      <c r="F810" s="88"/>
      <c r="G810" s="114"/>
    </row>
    <row r="811">
      <c r="B811" s="87"/>
      <c r="C811" s="88"/>
      <c r="D811" s="88"/>
      <c r="E811" s="88"/>
      <c r="F811" s="88"/>
      <c r="G811" s="114"/>
    </row>
    <row r="812">
      <c r="B812" s="87"/>
      <c r="C812" s="88"/>
      <c r="D812" s="88"/>
      <c r="E812" s="88"/>
      <c r="F812" s="88"/>
      <c r="G812" s="114"/>
    </row>
    <row r="813">
      <c r="B813" s="87"/>
      <c r="C813" s="88"/>
      <c r="D813" s="88"/>
      <c r="E813" s="88"/>
      <c r="F813" s="88"/>
      <c r="G813" s="114"/>
    </row>
    <row r="814">
      <c r="B814" s="87"/>
      <c r="C814" s="88"/>
      <c r="D814" s="88"/>
      <c r="E814" s="88"/>
      <c r="F814" s="88"/>
      <c r="G814" s="114"/>
    </row>
    <row r="815">
      <c r="B815" s="87"/>
      <c r="C815" s="88"/>
      <c r="D815" s="88"/>
      <c r="E815" s="88"/>
      <c r="F815" s="88"/>
      <c r="G815" s="114"/>
    </row>
    <row r="816">
      <c r="B816" s="87"/>
      <c r="C816" s="88"/>
      <c r="D816" s="88"/>
      <c r="E816" s="88"/>
      <c r="F816" s="88"/>
      <c r="G816" s="114"/>
    </row>
    <row r="817">
      <c r="B817" s="87"/>
      <c r="C817" s="88"/>
      <c r="D817" s="88"/>
      <c r="E817" s="88"/>
      <c r="F817" s="88"/>
      <c r="G817" s="114"/>
    </row>
    <row r="818">
      <c r="B818" s="87"/>
      <c r="C818" s="88"/>
      <c r="D818" s="88"/>
      <c r="E818" s="88"/>
      <c r="F818" s="88"/>
      <c r="G818" s="114"/>
    </row>
    <row r="819">
      <c r="B819" s="87"/>
      <c r="C819" s="88"/>
      <c r="D819" s="88"/>
      <c r="E819" s="88"/>
      <c r="F819" s="88"/>
      <c r="G819" s="114"/>
    </row>
    <row r="820">
      <c r="B820" s="87"/>
      <c r="C820" s="88"/>
      <c r="D820" s="88"/>
      <c r="E820" s="88"/>
      <c r="F820" s="88"/>
      <c r="G820" s="114"/>
    </row>
    <row r="821">
      <c r="B821" s="87"/>
      <c r="C821" s="88"/>
      <c r="D821" s="88"/>
      <c r="E821" s="88"/>
      <c r="F821" s="88"/>
      <c r="G821" s="114"/>
    </row>
    <row r="822">
      <c r="B822" s="87"/>
      <c r="C822" s="88"/>
      <c r="D822" s="88"/>
      <c r="E822" s="88"/>
      <c r="F822" s="88"/>
      <c r="G822" s="114"/>
    </row>
    <row r="823">
      <c r="B823" s="87"/>
      <c r="C823" s="88"/>
      <c r="D823" s="88"/>
      <c r="E823" s="88"/>
      <c r="F823" s="88"/>
      <c r="G823" s="114"/>
    </row>
    <row r="824">
      <c r="B824" s="87"/>
      <c r="C824" s="88"/>
      <c r="D824" s="88"/>
      <c r="E824" s="88"/>
      <c r="F824" s="88"/>
      <c r="G824" s="114"/>
    </row>
    <row r="825">
      <c r="B825" s="87"/>
      <c r="C825" s="88"/>
      <c r="D825" s="88"/>
      <c r="E825" s="88"/>
      <c r="F825" s="88"/>
      <c r="G825" s="114"/>
    </row>
    <row r="826">
      <c r="B826" s="87"/>
      <c r="C826" s="88"/>
      <c r="D826" s="88"/>
      <c r="E826" s="88"/>
      <c r="F826" s="88"/>
      <c r="G826" s="114"/>
    </row>
    <row r="827">
      <c r="B827" s="87"/>
      <c r="C827" s="88"/>
      <c r="D827" s="88"/>
      <c r="E827" s="88"/>
      <c r="F827" s="88"/>
      <c r="G827" s="114"/>
    </row>
    <row r="828">
      <c r="B828" s="87"/>
      <c r="C828" s="88"/>
      <c r="D828" s="88"/>
      <c r="E828" s="88"/>
      <c r="F828" s="88"/>
      <c r="G828" s="114"/>
    </row>
    <row r="829">
      <c r="B829" s="87"/>
      <c r="C829" s="88"/>
      <c r="D829" s="88"/>
      <c r="E829" s="88"/>
      <c r="F829" s="88"/>
      <c r="G829" s="114"/>
    </row>
    <row r="830">
      <c r="B830" s="87"/>
      <c r="C830" s="88"/>
      <c r="D830" s="88"/>
      <c r="E830" s="88"/>
      <c r="F830" s="88"/>
      <c r="G830" s="114"/>
    </row>
    <row r="831">
      <c r="B831" s="87"/>
      <c r="C831" s="88"/>
      <c r="D831" s="88"/>
      <c r="E831" s="88"/>
      <c r="F831" s="88"/>
      <c r="G831" s="114"/>
    </row>
    <row r="832">
      <c r="B832" s="87"/>
      <c r="C832" s="88"/>
      <c r="D832" s="88"/>
      <c r="E832" s="88"/>
      <c r="F832" s="88"/>
      <c r="G832" s="114"/>
    </row>
    <row r="833">
      <c r="B833" s="87"/>
      <c r="C833" s="88"/>
      <c r="D833" s="88"/>
      <c r="E833" s="88"/>
      <c r="F833" s="88"/>
      <c r="G833" s="114"/>
    </row>
    <row r="834">
      <c r="B834" s="87"/>
      <c r="C834" s="88"/>
      <c r="D834" s="88"/>
      <c r="E834" s="88"/>
      <c r="F834" s="88"/>
      <c r="G834" s="114"/>
    </row>
    <row r="835">
      <c r="B835" s="87"/>
      <c r="C835" s="88"/>
      <c r="D835" s="88"/>
      <c r="E835" s="88"/>
      <c r="F835" s="88"/>
      <c r="G835" s="114"/>
    </row>
    <row r="836">
      <c r="B836" s="87"/>
      <c r="C836" s="88"/>
      <c r="D836" s="88"/>
      <c r="E836" s="88"/>
      <c r="F836" s="88"/>
      <c r="G836" s="114"/>
    </row>
    <row r="837">
      <c r="B837" s="87"/>
      <c r="C837" s="88"/>
      <c r="D837" s="88"/>
      <c r="E837" s="88"/>
      <c r="F837" s="88"/>
      <c r="G837" s="114"/>
    </row>
    <row r="838">
      <c r="B838" s="87"/>
      <c r="C838" s="88"/>
      <c r="D838" s="88"/>
      <c r="E838" s="88"/>
      <c r="F838" s="88"/>
      <c r="G838" s="114"/>
    </row>
    <row r="839">
      <c r="B839" s="87"/>
      <c r="C839" s="88"/>
      <c r="D839" s="88"/>
      <c r="E839" s="88"/>
      <c r="F839" s="88"/>
      <c r="G839" s="114"/>
    </row>
    <row r="840">
      <c r="B840" s="87"/>
      <c r="C840" s="88"/>
      <c r="D840" s="88"/>
      <c r="E840" s="88"/>
      <c r="F840" s="88"/>
      <c r="G840" s="114"/>
    </row>
    <row r="841">
      <c r="B841" s="87"/>
      <c r="C841" s="88"/>
      <c r="D841" s="88"/>
      <c r="E841" s="88"/>
      <c r="F841" s="88"/>
      <c r="G841" s="114"/>
    </row>
    <row r="842">
      <c r="B842" s="87"/>
      <c r="C842" s="88"/>
      <c r="D842" s="88"/>
      <c r="E842" s="88"/>
      <c r="F842" s="88"/>
      <c r="G842" s="114"/>
    </row>
    <row r="843">
      <c r="B843" s="87"/>
      <c r="C843" s="88"/>
      <c r="D843" s="88"/>
      <c r="E843" s="88"/>
      <c r="F843" s="88"/>
      <c r="G843" s="114"/>
    </row>
    <row r="844">
      <c r="B844" s="87"/>
      <c r="C844" s="88"/>
      <c r="D844" s="88"/>
      <c r="E844" s="88"/>
      <c r="F844" s="88"/>
      <c r="G844" s="114"/>
    </row>
    <row r="845">
      <c r="B845" s="87"/>
      <c r="C845" s="88"/>
      <c r="D845" s="88"/>
      <c r="E845" s="88"/>
      <c r="F845" s="88"/>
      <c r="G845" s="114"/>
    </row>
    <row r="846">
      <c r="B846" s="87"/>
      <c r="C846" s="88"/>
      <c r="D846" s="88"/>
      <c r="E846" s="88"/>
      <c r="F846" s="88"/>
      <c r="G846" s="114"/>
    </row>
    <row r="847">
      <c r="B847" s="87"/>
      <c r="C847" s="88"/>
      <c r="D847" s="88"/>
      <c r="E847" s="88"/>
      <c r="F847" s="88"/>
      <c r="G847" s="114"/>
    </row>
    <row r="848">
      <c r="B848" s="87"/>
      <c r="C848" s="88"/>
      <c r="D848" s="88"/>
      <c r="E848" s="88"/>
      <c r="F848" s="88"/>
      <c r="G848" s="114"/>
    </row>
    <row r="849">
      <c r="B849" s="87"/>
      <c r="C849" s="88"/>
      <c r="D849" s="88"/>
      <c r="E849" s="88"/>
      <c r="F849" s="88"/>
      <c r="G849" s="114"/>
    </row>
    <row r="850">
      <c r="B850" s="87"/>
      <c r="C850" s="88"/>
      <c r="D850" s="88"/>
      <c r="E850" s="88"/>
      <c r="F850" s="88"/>
      <c r="G850" s="114"/>
    </row>
    <row r="851">
      <c r="B851" s="87"/>
      <c r="C851" s="88"/>
      <c r="D851" s="88"/>
      <c r="E851" s="88"/>
      <c r="F851" s="88"/>
      <c r="G851" s="114"/>
    </row>
    <row r="852">
      <c r="B852" s="87"/>
      <c r="C852" s="88"/>
      <c r="D852" s="88"/>
      <c r="E852" s="88"/>
      <c r="F852" s="88"/>
      <c r="G852" s="114"/>
    </row>
    <row r="853">
      <c r="B853" s="87"/>
      <c r="C853" s="88"/>
      <c r="D853" s="88"/>
      <c r="E853" s="88"/>
      <c r="F853" s="88"/>
      <c r="G853" s="114"/>
    </row>
    <row r="854">
      <c r="B854" s="87"/>
      <c r="C854" s="88"/>
      <c r="D854" s="88"/>
      <c r="E854" s="88"/>
      <c r="F854" s="88"/>
      <c r="G854" s="114"/>
    </row>
    <row r="855">
      <c r="B855" s="87"/>
      <c r="C855" s="88"/>
      <c r="D855" s="88"/>
      <c r="E855" s="88"/>
      <c r="F855" s="88"/>
      <c r="G855" s="114"/>
    </row>
    <row r="856">
      <c r="B856" s="87"/>
      <c r="C856" s="88"/>
      <c r="D856" s="88"/>
      <c r="E856" s="88"/>
      <c r="F856" s="88"/>
      <c r="G856" s="114"/>
    </row>
    <row r="857">
      <c r="B857" s="87"/>
      <c r="C857" s="88"/>
      <c r="D857" s="88"/>
      <c r="E857" s="88"/>
      <c r="F857" s="88"/>
      <c r="G857" s="114"/>
    </row>
    <row r="858">
      <c r="B858" s="87"/>
      <c r="C858" s="88"/>
      <c r="D858" s="88"/>
      <c r="E858" s="88"/>
      <c r="F858" s="88"/>
      <c r="G858" s="114"/>
    </row>
    <row r="859">
      <c r="B859" s="87"/>
      <c r="C859" s="88"/>
      <c r="D859" s="88"/>
      <c r="E859" s="88"/>
      <c r="F859" s="88"/>
      <c r="G859" s="114"/>
    </row>
    <row r="860">
      <c r="B860" s="87"/>
      <c r="C860" s="88"/>
      <c r="D860" s="88"/>
      <c r="E860" s="88"/>
      <c r="F860" s="88"/>
      <c r="G860" s="114"/>
    </row>
    <row r="861">
      <c r="B861" s="87"/>
      <c r="C861" s="88"/>
      <c r="D861" s="88"/>
      <c r="E861" s="88"/>
      <c r="F861" s="88"/>
      <c r="G861" s="114"/>
    </row>
    <row r="862">
      <c r="B862" s="87"/>
      <c r="C862" s="88"/>
      <c r="D862" s="88"/>
      <c r="E862" s="88"/>
      <c r="F862" s="88"/>
      <c r="G862" s="114"/>
    </row>
    <row r="863">
      <c r="B863" s="87"/>
      <c r="C863" s="88"/>
      <c r="D863" s="88"/>
      <c r="E863" s="88"/>
      <c r="F863" s="88"/>
      <c r="G863" s="114"/>
    </row>
    <row r="864">
      <c r="B864" s="87"/>
      <c r="C864" s="88"/>
      <c r="D864" s="88"/>
      <c r="E864" s="88"/>
      <c r="F864" s="88"/>
      <c r="G864" s="114"/>
    </row>
    <row r="865">
      <c r="B865" s="87"/>
      <c r="C865" s="88"/>
      <c r="D865" s="88"/>
      <c r="E865" s="88"/>
      <c r="F865" s="88"/>
      <c r="G865" s="114"/>
    </row>
    <row r="866">
      <c r="B866" s="87"/>
      <c r="C866" s="88"/>
      <c r="D866" s="88"/>
      <c r="E866" s="88"/>
      <c r="F866" s="88"/>
      <c r="G866" s="114"/>
    </row>
    <row r="867">
      <c r="B867" s="87"/>
      <c r="C867" s="88"/>
      <c r="D867" s="88"/>
      <c r="E867" s="88"/>
      <c r="F867" s="88"/>
      <c r="G867" s="114"/>
    </row>
    <row r="868">
      <c r="B868" s="87"/>
      <c r="C868" s="88"/>
      <c r="D868" s="88"/>
      <c r="E868" s="88"/>
      <c r="F868" s="88"/>
      <c r="G868" s="114"/>
    </row>
    <row r="869">
      <c r="B869" s="87"/>
      <c r="C869" s="88"/>
      <c r="D869" s="88"/>
      <c r="E869" s="88"/>
      <c r="F869" s="88"/>
      <c r="G869" s="114"/>
    </row>
    <row r="870">
      <c r="B870" s="87"/>
      <c r="C870" s="88"/>
      <c r="D870" s="88"/>
      <c r="E870" s="88"/>
      <c r="F870" s="88"/>
      <c r="G870" s="114"/>
    </row>
    <row r="871">
      <c r="B871" s="87"/>
      <c r="C871" s="88"/>
      <c r="D871" s="88"/>
      <c r="E871" s="88"/>
      <c r="F871" s="88"/>
      <c r="G871" s="114"/>
    </row>
    <row r="872">
      <c r="B872" s="87"/>
      <c r="C872" s="88"/>
      <c r="D872" s="88"/>
      <c r="E872" s="88"/>
      <c r="F872" s="88"/>
      <c r="G872" s="114"/>
    </row>
    <row r="873">
      <c r="B873" s="87"/>
      <c r="C873" s="88"/>
      <c r="D873" s="88"/>
      <c r="E873" s="88"/>
      <c r="F873" s="88"/>
      <c r="G873" s="114"/>
    </row>
    <row r="874">
      <c r="B874" s="87"/>
      <c r="C874" s="88"/>
      <c r="D874" s="88"/>
      <c r="E874" s="88"/>
      <c r="F874" s="88"/>
      <c r="G874" s="114"/>
    </row>
    <row r="875">
      <c r="B875" s="87"/>
      <c r="C875" s="88"/>
      <c r="D875" s="88"/>
      <c r="E875" s="88"/>
      <c r="F875" s="88"/>
      <c r="G875" s="114"/>
    </row>
    <row r="876">
      <c r="B876" s="87"/>
      <c r="C876" s="88"/>
      <c r="D876" s="88"/>
      <c r="E876" s="88"/>
      <c r="F876" s="88"/>
      <c r="G876" s="114"/>
    </row>
    <row r="877">
      <c r="B877" s="87"/>
      <c r="C877" s="88"/>
      <c r="D877" s="88"/>
      <c r="E877" s="88"/>
      <c r="F877" s="88"/>
      <c r="G877" s="114"/>
    </row>
    <row r="878">
      <c r="B878" s="87"/>
      <c r="C878" s="88"/>
      <c r="D878" s="88"/>
      <c r="E878" s="88"/>
      <c r="F878" s="88"/>
      <c r="G878" s="114"/>
    </row>
    <row r="879">
      <c r="B879" s="87"/>
      <c r="C879" s="88"/>
      <c r="D879" s="88"/>
      <c r="E879" s="88"/>
      <c r="F879" s="88"/>
      <c r="G879" s="114"/>
    </row>
    <row r="880">
      <c r="B880" s="87"/>
      <c r="C880" s="88"/>
      <c r="D880" s="88"/>
      <c r="E880" s="88"/>
      <c r="F880" s="88"/>
      <c r="G880" s="114"/>
    </row>
    <row r="881">
      <c r="B881" s="87"/>
      <c r="C881" s="88"/>
      <c r="D881" s="88"/>
      <c r="E881" s="88"/>
      <c r="F881" s="88"/>
      <c r="G881" s="114"/>
    </row>
    <row r="882">
      <c r="B882" s="87"/>
      <c r="C882" s="88"/>
      <c r="D882" s="88"/>
      <c r="E882" s="88"/>
      <c r="F882" s="88"/>
      <c r="G882" s="114"/>
    </row>
    <row r="883">
      <c r="B883" s="87"/>
      <c r="C883" s="88"/>
      <c r="D883" s="88"/>
      <c r="E883" s="88"/>
      <c r="F883" s="88"/>
      <c r="G883" s="114"/>
    </row>
    <row r="884">
      <c r="B884" s="87"/>
      <c r="C884" s="88"/>
      <c r="D884" s="88"/>
      <c r="E884" s="88"/>
      <c r="F884" s="88"/>
      <c r="G884" s="114"/>
    </row>
    <row r="885">
      <c r="B885" s="87"/>
      <c r="C885" s="88"/>
      <c r="D885" s="88"/>
      <c r="E885" s="88"/>
      <c r="F885" s="88"/>
      <c r="G885" s="114"/>
    </row>
    <row r="886">
      <c r="B886" s="87"/>
      <c r="C886" s="88"/>
      <c r="D886" s="88"/>
      <c r="E886" s="88"/>
      <c r="F886" s="88"/>
      <c r="G886" s="114"/>
    </row>
    <row r="887">
      <c r="B887" s="87"/>
      <c r="C887" s="88"/>
      <c r="D887" s="88"/>
      <c r="E887" s="88"/>
      <c r="F887" s="88"/>
      <c r="G887" s="114"/>
    </row>
    <row r="888">
      <c r="B888" s="87"/>
      <c r="C888" s="88"/>
      <c r="D888" s="88"/>
      <c r="E888" s="88"/>
      <c r="F888" s="88"/>
      <c r="G888" s="114"/>
    </row>
    <row r="889">
      <c r="B889" s="87"/>
      <c r="C889" s="88"/>
      <c r="D889" s="88"/>
      <c r="E889" s="88"/>
      <c r="F889" s="88"/>
      <c r="G889" s="114"/>
    </row>
    <row r="890">
      <c r="B890" s="87"/>
      <c r="C890" s="88"/>
      <c r="D890" s="88"/>
      <c r="E890" s="88"/>
      <c r="F890" s="88"/>
      <c r="G890" s="114"/>
    </row>
    <row r="891">
      <c r="B891" s="87"/>
      <c r="C891" s="88"/>
      <c r="D891" s="88"/>
      <c r="E891" s="88"/>
      <c r="F891" s="88"/>
      <c r="G891" s="114"/>
    </row>
    <row r="892">
      <c r="B892" s="87"/>
      <c r="C892" s="88"/>
      <c r="D892" s="88"/>
      <c r="E892" s="88"/>
      <c r="F892" s="88"/>
      <c r="G892" s="114"/>
    </row>
    <row r="893">
      <c r="B893" s="87"/>
      <c r="C893" s="88"/>
      <c r="D893" s="88"/>
      <c r="E893" s="88"/>
      <c r="F893" s="88"/>
      <c r="G893" s="114"/>
    </row>
    <row r="894">
      <c r="B894" s="87"/>
      <c r="C894" s="88"/>
      <c r="D894" s="88"/>
      <c r="E894" s="88"/>
      <c r="F894" s="88"/>
      <c r="G894" s="114"/>
    </row>
    <row r="895">
      <c r="B895" s="87"/>
      <c r="C895" s="88"/>
      <c r="D895" s="88"/>
      <c r="E895" s="88"/>
      <c r="F895" s="88"/>
      <c r="G895" s="114"/>
    </row>
    <row r="896">
      <c r="B896" s="87"/>
      <c r="C896" s="88"/>
      <c r="D896" s="88"/>
      <c r="E896" s="88"/>
      <c r="F896" s="88"/>
      <c r="G896" s="114"/>
    </row>
    <row r="897">
      <c r="B897" s="87"/>
      <c r="C897" s="88"/>
      <c r="D897" s="88"/>
      <c r="E897" s="88"/>
      <c r="F897" s="88"/>
      <c r="G897" s="114"/>
    </row>
    <row r="898">
      <c r="B898" s="87"/>
      <c r="C898" s="88"/>
      <c r="D898" s="88"/>
      <c r="E898" s="88"/>
      <c r="F898" s="88"/>
      <c r="G898" s="114"/>
    </row>
    <row r="899">
      <c r="B899" s="87"/>
      <c r="C899" s="88"/>
      <c r="D899" s="88"/>
      <c r="E899" s="88"/>
      <c r="F899" s="88"/>
      <c r="G899" s="114"/>
    </row>
    <row r="900">
      <c r="B900" s="87"/>
      <c r="C900" s="88"/>
      <c r="D900" s="88"/>
      <c r="E900" s="88"/>
      <c r="F900" s="88"/>
      <c r="G900" s="114"/>
    </row>
    <row r="901">
      <c r="B901" s="87"/>
      <c r="C901" s="88"/>
      <c r="D901" s="88"/>
      <c r="E901" s="88"/>
      <c r="F901" s="88"/>
      <c r="G901" s="114"/>
    </row>
    <row r="902">
      <c r="B902" s="87"/>
      <c r="C902" s="88"/>
      <c r="D902" s="88"/>
      <c r="E902" s="88"/>
      <c r="F902" s="88"/>
      <c r="G902" s="114"/>
    </row>
    <row r="903">
      <c r="B903" s="87"/>
      <c r="C903" s="88"/>
      <c r="D903" s="88"/>
      <c r="E903" s="88"/>
      <c r="F903" s="88"/>
      <c r="G903" s="114"/>
    </row>
    <row r="904">
      <c r="B904" s="87"/>
      <c r="C904" s="88"/>
      <c r="D904" s="88"/>
      <c r="E904" s="88"/>
      <c r="F904" s="88"/>
      <c r="G904" s="114"/>
    </row>
    <row r="905">
      <c r="B905" s="87"/>
      <c r="C905" s="88"/>
      <c r="D905" s="88"/>
      <c r="E905" s="88"/>
      <c r="F905" s="88"/>
      <c r="G905" s="114"/>
    </row>
    <row r="906">
      <c r="B906" s="87"/>
      <c r="C906" s="88"/>
      <c r="D906" s="88"/>
      <c r="E906" s="88"/>
      <c r="F906" s="88"/>
      <c r="G906" s="114"/>
    </row>
    <row r="907">
      <c r="B907" s="87"/>
      <c r="C907" s="88"/>
      <c r="D907" s="88"/>
      <c r="E907" s="88"/>
      <c r="F907" s="88"/>
      <c r="G907" s="114"/>
    </row>
    <row r="908">
      <c r="B908" s="87"/>
      <c r="C908" s="88"/>
      <c r="D908" s="88"/>
      <c r="E908" s="88"/>
      <c r="F908" s="88"/>
      <c r="G908" s="114"/>
    </row>
    <row r="909">
      <c r="B909" s="87"/>
      <c r="C909" s="88"/>
      <c r="D909" s="88"/>
      <c r="E909" s="88"/>
      <c r="F909" s="88"/>
      <c r="G909" s="114"/>
    </row>
    <row r="910">
      <c r="B910" s="87"/>
      <c r="C910" s="88"/>
      <c r="D910" s="88"/>
      <c r="E910" s="88"/>
      <c r="F910" s="88"/>
      <c r="G910" s="114"/>
    </row>
    <row r="911">
      <c r="B911" s="87"/>
      <c r="C911" s="88"/>
      <c r="D911" s="88"/>
      <c r="E911" s="88"/>
      <c r="F911" s="88"/>
      <c r="G911" s="114"/>
    </row>
    <row r="912">
      <c r="B912" s="87"/>
      <c r="C912" s="88"/>
      <c r="D912" s="88"/>
      <c r="E912" s="88"/>
      <c r="F912" s="88"/>
      <c r="G912" s="114"/>
    </row>
    <row r="913">
      <c r="B913" s="87"/>
      <c r="C913" s="88"/>
      <c r="D913" s="88"/>
      <c r="E913" s="88"/>
      <c r="F913" s="88"/>
      <c r="G913" s="114"/>
    </row>
    <row r="914">
      <c r="B914" s="87"/>
      <c r="C914" s="88"/>
      <c r="D914" s="88"/>
      <c r="E914" s="88"/>
      <c r="F914" s="88"/>
      <c r="G914" s="114"/>
    </row>
    <row r="915">
      <c r="B915" s="87"/>
      <c r="C915" s="88"/>
      <c r="D915" s="88"/>
      <c r="E915" s="88"/>
      <c r="F915" s="88"/>
      <c r="G915" s="114"/>
    </row>
    <row r="916">
      <c r="B916" s="87"/>
      <c r="C916" s="88"/>
      <c r="D916" s="88"/>
      <c r="E916" s="88"/>
      <c r="F916" s="88"/>
      <c r="G916" s="114"/>
    </row>
    <row r="917">
      <c r="B917" s="87"/>
      <c r="C917" s="88"/>
      <c r="D917" s="88"/>
      <c r="E917" s="88"/>
      <c r="F917" s="88"/>
      <c r="G917" s="114"/>
    </row>
    <row r="918">
      <c r="B918" s="87"/>
      <c r="C918" s="88"/>
      <c r="D918" s="88"/>
      <c r="E918" s="88"/>
      <c r="F918" s="88"/>
      <c r="G918" s="114"/>
    </row>
    <row r="919">
      <c r="B919" s="87"/>
      <c r="C919" s="88"/>
      <c r="D919" s="88"/>
      <c r="E919" s="88"/>
      <c r="F919" s="88"/>
      <c r="G919" s="114"/>
    </row>
    <row r="920">
      <c r="B920" s="87"/>
      <c r="C920" s="88"/>
      <c r="D920" s="88"/>
      <c r="E920" s="88"/>
      <c r="F920" s="88"/>
      <c r="G920" s="114"/>
    </row>
    <row r="921">
      <c r="B921" s="87"/>
      <c r="C921" s="88"/>
      <c r="D921" s="88"/>
      <c r="E921" s="88"/>
      <c r="F921" s="88"/>
      <c r="G921" s="114"/>
    </row>
    <row r="922">
      <c r="B922" s="87"/>
      <c r="C922" s="88"/>
      <c r="D922" s="88"/>
      <c r="E922" s="88"/>
      <c r="F922" s="88"/>
      <c r="G922" s="114"/>
    </row>
    <row r="923">
      <c r="B923" s="87"/>
      <c r="C923" s="88"/>
      <c r="D923" s="88"/>
      <c r="E923" s="88"/>
      <c r="F923" s="88"/>
      <c r="G923" s="114"/>
    </row>
    <row r="924">
      <c r="B924" s="87"/>
      <c r="C924" s="88"/>
      <c r="D924" s="88"/>
      <c r="E924" s="88"/>
      <c r="F924" s="88"/>
      <c r="G924" s="114"/>
    </row>
    <row r="925">
      <c r="B925" s="87"/>
      <c r="C925" s="88"/>
      <c r="D925" s="88"/>
      <c r="E925" s="88"/>
      <c r="F925" s="88"/>
      <c r="G925" s="114"/>
    </row>
    <row r="926">
      <c r="B926" s="87"/>
      <c r="C926" s="88"/>
      <c r="D926" s="88"/>
      <c r="E926" s="88"/>
      <c r="F926" s="88"/>
      <c r="G926" s="114"/>
    </row>
    <row r="927">
      <c r="B927" s="87"/>
      <c r="C927" s="88"/>
      <c r="D927" s="88"/>
      <c r="E927" s="88"/>
      <c r="F927" s="88"/>
      <c r="G927" s="114"/>
    </row>
    <row r="928">
      <c r="B928" s="87"/>
      <c r="C928" s="88"/>
      <c r="D928" s="88"/>
      <c r="E928" s="88"/>
      <c r="F928" s="88"/>
      <c r="G928" s="114"/>
    </row>
    <row r="929">
      <c r="B929" s="87"/>
      <c r="C929" s="88"/>
      <c r="D929" s="88"/>
      <c r="E929" s="88"/>
      <c r="F929" s="88"/>
      <c r="G929" s="114"/>
    </row>
    <row r="930">
      <c r="B930" s="87"/>
      <c r="C930" s="88"/>
      <c r="D930" s="88"/>
      <c r="E930" s="88"/>
      <c r="F930" s="88"/>
      <c r="G930" s="114"/>
    </row>
    <row r="931">
      <c r="B931" s="87"/>
      <c r="C931" s="88"/>
      <c r="D931" s="88"/>
      <c r="E931" s="88"/>
      <c r="F931" s="88"/>
      <c r="G931" s="114"/>
    </row>
    <row r="932">
      <c r="B932" s="87"/>
      <c r="C932" s="88"/>
      <c r="D932" s="88"/>
      <c r="E932" s="88"/>
      <c r="F932" s="88"/>
      <c r="G932" s="114"/>
    </row>
    <row r="933">
      <c r="B933" s="87"/>
      <c r="C933" s="88"/>
      <c r="D933" s="88"/>
      <c r="E933" s="88"/>
      <c r="F933" s="88"/>
      <c r="G933" s="114"/>
    </row>
    <row r="934">
      <c r="B934" s="87"/>
      <c r="C934" s="88"/>
      <c r="D934" s="88"/>
      <c r="E934" s="88"/>
      <c r="F934" s="88"/>
      <c r="G934" s="114"/>
    </row>
    <row r="935">
      <c r="B935" s="87"/>
      <c r="C935" s="88"/>
      <c r="D935" s="88"/>
      <c r="E935" s="88"/>
      <c r="F935" s="88"/>
      <c r="G935" s="114"/>
    </row>
    <row r="936">
      <c r="B936" s="87"/>
      <c r="C936" s="88"/>
      <c r="D936" s="88"/>
      <c r="E936" s="88"/>
      <c r="F936" s="88"/>
      <c r="G936" s="114"/>
    </row>
    <row r="937">
      <c r="B937" s="87"/>
      <c r="C937" s="88"/>
      <c r="D937" s="88"/>
      <c r="E937" s="88"/>
      <c r="F937" s="88"/>
      <c r="G937" s="114"/>
    </row>
    <row r="938">
      <c r="B938" s="87"/>
      <c r="C938" s="88"/>
      <c r="D938" s="88"/>
      <c r="E938" s="88"/>
      <c r="F938" s="88"/>
      <c r="G938" s="114"/>
    </row>
    <row r="939">
      <c r="B939" s="87"/>
      <c r="C939" s="88"/>
      <c r="D939" s="88"/>
      <c r="E939" s="88"/>
      <c r="F939" s="88"/>
      <c r="G939" s="114"/>
    </row>
    <row r="940">
      <c r="B940" s="87"/>
      <c r="C940" s="88"/>
      <c r="D940" s="88"/>
      <c r="E940" s="88"/>
      <c r="F940" s="88"/>
      <c r="G940" s="114"/>
    </row>
    <row r="941">
      <c r="B941" s="87"/>
      <c r="C941" s="88"/>
      <c r="D941" s="88"/>
      <c r="E941" s="88"/>
      <c r="F941" s="88"/>
      <c r="G941" s="114"/>
    </row>
    <row r="942">
      <c r="B942" s="87"/>
      <c r="C942" s="88"/>
      <c r="D942" s="88"/>
      <c r="E942" s="88"/>
      <c r="F942" s="88"/>
      <c r="G942" s="114"/>
    </row>
    <row r="943">
      <c r="B943" s="87"/>
      <c r="C943" s="88"/>
      <c r="D943" s="88"/>
      <c r="E943" s="88"/>
      <c r="F943" s="88"/>
      <c r="G943" s="114"/>
    </row>
    <row r="944">
      <c r="B944" s="87"/>
      <c r="C944" s="88"/>
      <c r="D944" s="88"/>
      <c r="E944" s="88"/>
      <c r="F944" s="88"/>
      <c r="G944" s="114"/>
    </row>
    <row r="945">
      <c r="B945" s="87"/>
      <c r="C945" s="88"/>
      <c r="D945" s="88"/>
      <c r="E945" s="88"/>
      <c r="F945" s="88"/>
      <c r="G945" s="114"/>
    </row>
    <row r="946">
      <c r="B946" s="87"/>
      <c r="C946" s="88"/>
      <c r="D946" s="88"/>
      <c r="E946" s="88"/>
      <c r="F946" s="88"/>
      <c r="G946" s="114"/>
    </row>
    <row r="947">
      <c r="B947" s="87"/>
      <c r="C947" s="88"/>
      <c r="D947" s="88"/>
      <c r="E947" s="88"/>
      <c r="F947" s="88"/>
      <c r="G947" s="114"/>
    </row>
    <row r="948">
      <c r="B948" s="87"/>
      <c r="C948" s="88"/>
      <c r="D948" s="88"/>
      <c r="E948" s="88"/>
      <c r="F948" s="88"/>
      <c r="G948" s="114"/>
    </row>
    <row r="949">
      <c r="B949" s="87"/>
      <c r="C949" s="88"/>
      <c r="D949" s="88"/>
      <c r="E949" s="88"/>
      <c r="F949" s="88"/>
      <c r="G949" s="114"/>
    </row>
    <row r="950">
      <c r="B950" s="87"/>
      <c r="C950" s="88"/>
      <c r="D950" s="88"/>
      <c r="E950" s="88"/>
      <c r="F950" s="88"/>
      <c r="G950" s="114"/>
    </row>
    <row r="951">
      <c r="B951" s="87"/>
      <c r="C951" s="88"/>
      <c r="D951" s="88"/>
      <c r="E951" s="88"/>
      <c r="F951" s="88"/>
      <c r="G951" s="114"/>
    </row>
    <row r="952">
      <c r="B952" s="87"/>
      <c r="C952" s="88"/>
      <c r="D952" s="88"/>
      <c r="E952" s="88"/>
      <c r="F952" s="88"/>
      <c r="G952" s="114"/>
    </row>
    <row r="953">
      <c r="B953" s="87"/>
      <c r="C953" s="88"/>
      <c r="D953" s="88"/>
      <c r="E953" s="88"/>
      <c r="F953" s="88"/>
      <c r="G953" s="114"/>
    </row>
    <row r="954">
      <c r="B954" s="87"/>
      <c r="C954" s="88"/>
      <c r="D954" s="88"/>
      <c r="E954" s="88"/>
      <c r="F954" s="88"/>
      <c r="G954" s="114"/>
    </row>
    <row r="955">
      <c r="B955" s="87"/>
      <c r="C955" s="88"/>
      <c r="D955" s="88"/>
      <c r="E955" s="88"/>
      <c r="F955" s="88"/>
      <c r="G955" s="114"/>
    </row>
    <row r="956">
      <c r="B956" s="87"/>
      <c r="C956" s="88"/>
      <c r="D956" s="88"/>
      <c r="E956" s="88"/>
      <c r="F956" s="88"/>
      <c r="G956" s="114"/>
    </row>
    <row r="957">
      <c r="B957" s="87"/>
      <c r="C957" s="88"/>
      <c r="D957" s="88"/>
      <c r="E957" s="88"/>
      <c r="F957" s="88"/>
      <c r="G957" s="114"/>
    </row>
    <row r="958">
      <c r="B958" s="87"/>
      <c r="C958" s="88"/>
      <c r="D958" s="88"/>
      <c r="E958" s="88"/>
      <c r="F958" s="88"/>
      <c r="G958" s="114"/>
    </row>
    <row r="959">
      <c r="B959" s="87"/>
      <c r="C959" s="88"/>
      <c r="D959" s="88"/>
      <c r="E959" s="88"/>
      <c r="F959" s="88"/>
      <c r="G959" s="114"/>
    </row>
    <row r="960">
      <c r="B960" s="87"/>
      <c r="C960" s="88"/>
      <c r="D960" s="88"/>
      <c r="E960" s="88"/>
      <c r="F960" s="88"/>
      <c r="G960" s="114"/>
    </row>
    <row r="961">
      <c r="B961" s="87"/>
      <c r="C961" s="88"/>
      <c r="D961" s="88"/>
      <c r="E961" s="88"/>
      <c r="F961" s="88"/>
      <c r="G961" s="114"/>
    </row>
    <row r="962">
      <c r="B962" s="87"/>
      <c r="C962" s="88"/>
      <c r="D962" s="88"/>
      <c r="E962" s="88"/>
      <c r="F962" s="88"/>
      <c r="G962" s="114"/>
    </row>
    <row r="963">
      <c r="B963" s="87"/>
      <c r="C963" s="88"/>
      <c r="D963" s="88"/>
      <c r="E963" s="88"/>
      <c r="F963" s="88"/>
      <c r="G963" s="114"/>
    </row>
    <row r="964">
      <c r="B964" s="87"/>
      <c r="C964" s="88"/>
      <c r="D964" s="88"/>
      <c r="E964" s="88"/>
      <c r="F964" s="88"/>
      <c r="G964" s="114"/>
    </row>
    <row r="965">
      <c r="B965" s="87"/>
      <c r="C965" s="88"/>
      <c r="D965" s="88"/>
      <c r="E965" s="88"/>
      <c r="F965" s="88"/>
      <c r="G965" s="114"/>
    </row>
    <row r="966">
      <c r="B966" s="87"/>
      <c r="C966" s="88"/>
      <c r="D966" s="88"/>
      <c r="E966" s="88"/>
      <c r="F966" s="88"/>
      <c r="G966" s="114"/>
    </row>
    <row r="967">
      <c r="B967" s="87"/>
      <c r="C967" s="88"/>
      <c r="D967" s="88"/>
      <c r="E967" s="88"/>
      <c r="F967" s="88"/>
      <c r="G967" s="114"/>
    </row>
    <row r="968">
      <c r="B968" s="87"/>
      <c r="C968" s="88"/>
      <c r="D968" s="88"/>
      <c r="E968" s="88"/>
      <c r="F968" s="88"/>
      <c r="G968" s="114"/>
    </row>
    <row r="969">
      <c r="B969" s="87"/>
      <c r="C969" s="88"/>
      <c r="D969" s="88"/>
      <c r="E969" s="88"/>
      <c r="F969" s="88"/>
      <c r="G969" s="114"/>
    </row>
    <row r="970">
      <c r="B970" s="87"/>
      <c r="C970" s="88"/>
      <c r="D970" s="88"/>
      <c r="E970" s="88"/>
      <c r="F970" s="88"/>
      <c r="G970" s="114"/>
    </row>
    <row r="971">
      <c r="B971" s="87"/>
      <c r="C971" s="88"/>
      <c r="D971" s="88"/>
      <c r="E971" s="88"/>
      <c r="F971" s="88"/>
      <c r="G971" s="114"/>
    </row>
    <row r="972">
      <c r="B972" s="87"/>
      <c r="C972" s="88"/>
      <c r="D972" s="88"/>
      <c r="E972" s="88"/>
      <c r="F972" s="88"/>
      <c r="G972" s="114"/>
    </row>
    <row r="973">
      <c r="B973" s="87"/>
      <c r="C973" s="88"/>
      <c r="D973" s="88"/>
      <c r="E973" s="88"/>
      <c r="F973" s="88"/>
      <c r="G973" s="114"/>
    </row>
    <row r="974">
      <c r="B974" s="87"/>
      <c r="C974" s="88"/>
      <c r="D974" s="88"/>
      <c r="E974" s="88"/>
      <c r="F974" s="88"/>
      <c r="G974" s="114"/>
    </row>
    <row r="975">
      <c r="B975" s="87"/>
      <c r="C975" s="88"/>
      <c r="D975" s="88"/>
      <c r="E975" s="88"/>
      <c r="F975" s="88"/>
      <c r="G975" s="114"/>
    </row>
    <row r="976">
      <c r="B976" s="87"/>
      <c r="C976" s="88"/>
      <c r="D976" s="88"/>
      <c r="E976" s="88"/>
      <c r="F976" s="88"/>
      <c r="G976" s="114"/>
    </row>
    <row r="977">
      <c r="B977" s="87"/>
      <c r="C977" s="88"/>
      <c r="D977" s="88"/>
      <c r="E977" s="88"/>
      <c r="F977" s="88"/>
      <c r="G977" s="114"/>
    </row>
    <row r="978">
      <c r="B978" s="87"/>
      <c r="C978" s="88"/>
      <c r="D978" s="88"/>
      <c r="E978" s="88"/>
      <c r="F978" s="88"/>
      <c r="G978" s="114"/>
    </row>
    <row r="979">
      <c r="B979" s="87"/>
      <c r="C979" s="88"/>
      <c r="D979" s="88"/>
      <c r="E979" s="88"/>
      <c r="F979" s="88"/>
      <c r="G979" s="114"/>
    </row>
    <row r="980">
      <c r="B980" s="87"/>
      <c r="C980" s="88"/>
      <c r="D980" s="88"/>
      <c r="E980" s="88"/>
      <c r="F980" s="88"/>
      <c r="G980" s="114"/>
    </row>
    <row r="981">
      <c r="B981" s="87"/>
      <c r="C981" s="88"/>
      <c r="D981" s="88"/>
      <c r="E981" s="88"/>
      <c r="F981" s="88"/>
      <c r="G981" s="114"/>
    </row>
    <row r="982">
      <c r="B982" s="87"/>
      <c r="C982" s="88"/>
      <c r="D982" s="88"/>
      <c r="E982" s="88"/>
      <c r="F982" s="88"/>
      <c r="G982" s="114"/>
    </row>
    <row r="983">
      <c r="B983" s="87"/>
      <c r="C983" s="88"/>
      <c r="D983" s="88"/>
      <c r="E983" s="88"/>
      <c r="F983" s="88"/>
      <c r="G983" s="114"/>
    </row>
    <row r="984">
      <c r="B984" s="87"/>
      <c r="C984" s="88"/>
      <c r="D984" s="88"/>
      <c r="E984" s="88"/>
      <c r="F984" s="88"/>
      <c r="G984" s="114"/>
    </row>
    <row r="985">
      <c r="B985" s="87"/>
      <c r="C985" s="88"/>
      <c r="D985" s="88"/>
      <c r="E985" s="88"/>
      <c r="F985" s="88"/>
      <c r="G985" s="114"/>
    </row>
    <row r="986">
      <c r="B986" s="87"/>
      <c r="C986" s="88"/>
      <c r="D986" s="88"/>
      <c r="E986" s="88"/>
      <c r="F986" s="88"/>
      <c r="G986" s="114"/>
    </row>
    <row r="987">
      <c r="B987" s="87"/>
      <c r="C987" s="88"/>
      <c r="D987" s="88"/>
      <c r="E987" s="88"/>
      <c r="F987" s="88"/>
      <c r="G987" s="114"/>
    </row>
    <row r="988">
      <c r="B988" s="87"/>
      <c r="C988" s="88"/>
      <c r="D988" s="88"/>
      <c r="E988" s="88"/>
      <c r="F988" s="88"/>
      <c r="G988" s="114"/>
    </row>
    <row r="989">
      <c r="B989" s="87"/>
      <c r="C989" s="88"/>
      <c r="D989" s="88"/>
      <c r="E989" s="88"/>
      <c r="F989" s="88"/>
      <c r="G989" s="114"/>
    </row>
    <row r="990">
      <c r="B990" s="87"/>
      <c r="C990" s="88"/>
      <c r="D990" s="88"/>
      <c r="E990" s="88"/>
      <c r="F990" s="88"/>
      <c r="G990" s="114"/>
    </row>
    <row r="991">
      <c r="B991" s="87"/>
      <c r="C991" s="88"/>
      <c r="D991" s="88"/>
      <c r="E991" s="88"/>
      <c r="F991" s="88"/>
      <c r="G991" s="114"/>
    </row>
    <row r="992">
      <c r="B992" s="87"/>
      <c r="C992" s="88"/>
      <c r="D992" s="88"/>
      <c r="E992" s="88"/>
      <c r="F992" s="88"/>
      <c r="G992" s="114"/>
    </row>
    <row r="993">
      <c r="B993" s="87"/>
      <c r="C993" s="88"/>
      <c r="D993" s="88"/>
      <c r="E993" s="88"/>
      <c r="F993" s="88"/>
      <c r="G993" s="114"/>
    </row>
    <row r="994">
      <c r="B994" s="87"/>
      <c r="C994" s="88"/>
      <c r="D994" s="88"/>
      <c r="E994" s="88"/>
      <c r="F994" s="88"/>
      <c r="G994" s="114"/>
    </row>
    <row r="995">
      <c r="B995" s="87"/>
      <c r="C995" s="88"/>
      <c r="D995" s="88"/>
      <c r="E995" s="88"/>
      <c r="F995" s="88"/>
      <c r="G995" s="114"/>
    </row>
    <row r="996">
      <c r="B996" s="87"/>
      <c r="C996" s="88"/>
      <c r="D996" s="88"/>
      <c r="E996" s="88"/>
      <c r="F996" s="88"/>
      <c r="G996" s="114"/>
    </row>
    <row r="997">
      <c r="B997" s="87"/>
      <c r="C997" s="88"/>
      <c r="D997" s="88"/>
      <c r="E997" s="88"/>
      <c r="F997" s="88"/>
      <c r="G997" s="114"/>
    </row>
    <row r="998">
      <c r="B998" s="87"/>
      <c r="C998" s="88"/>
      <c r="D998" s="88"/>
      <c r="E998" s="88"/>
      <c r="F998" s="88"/>
      <c r="G998" s="114"/>
    </row>
  </sheetData>
  <mergeCells count="9">
    <mergeCell ref="C17:E17"/>
    <mergeCell ref="F17:F19"/>
    <mergeCell ref="B3:G3"/>
    <mergeCell ref="B4:B6"/>
    <mergeCell ref="C4:E4"/>
    <mergeCell ref="F4:F6"/>
    <mergeCell ref="G4:G6"/>
    <mergeCell ref="B16:F16"/>
    <mergeCell ref="B17:B19"/>
  </mergeCells>
  <conditionalFormatting sqref="K9">
    <cfRule type="cellIs" dxfId="5" priority="1" operator="lessThan">
      <formula>700000</formula>
    </cfRule>
  </conditionalFormatting>
  <conditionalFormatting sqref="F13">
    <cfRule type="notContainsBlanks" dxfId="8" priority="2">
      <formula>LEN(TRIM(F13))&gt;0</formula>
    </cfRule>
  </conditionalFormatting>
  <conditionalFormatting sqref="F20:F24">
    <cfRule type="cellIs" dxfId="9" priority="3" operator="lessThan">
      <formula>"20%"</formula>
    </cfRule>
  </conditionalFormatting>
  <conditionalFormatting sqref="F25">
    <cfRule type="cellIs" dxfId="10" priority="4" operator="lessThan">
      <formula>"100%"</formula>
    </cfRule>
  </conditionalFormatting>
  <conditionalFormatting sqref="F7:F11">
    <cfRule type="cellIs" dxfId="11" priority="5" operator="greaterThanOrEqual">
      <formula>100000</formula>
    </cfRule>
  </conditionalFormatting>
  <conditionalFormatting sqref="F7:F11">
    <cfRule type="cellIs" dxfId="12" priority="6" operator="between">
      <formula>95000</formula>
      <formula>99000</formula>
    </cfRule>
  </conditionalFormatting>
  <conditionalFormatting sqref="F7:F11">
    <cfRule type="cellIs" dxfId="13" priority="7" operator="lessThanOrEqual">
      <formula>95000</formula>
    </cfRule>
  </conditionalFormatting>
  <conditionalFormatting sqref="F12">
    <cfRule type="cellIs" dxfId="11" priority="8" operator="greaterThanOrEqual">
      <formula>500000</formula>
    </cfRule>
  </conditionalFormatting>
  <conditionalFormatting sqref="F12">
    <cfRule type="cellIs" dxfId="13" priority="9" operator="lessThanOrEqual">
      <formula>499000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hidden="1" min="1" max="1" width="12.63"/>
    <col customWidth="1" min="2" max="2" width="12.63"/>
    <col customWidth="1" min="6" max="6" width="17.75"/>
    <col customWidth="1" min="7" max="7" width="48.88"/>
  </cols>
  <sheetData>
    <row r="1">
      <c r="B1" s="112" t="s">
        <v>156</v>
      </c>
      <c r="C1" s="88"/>
      <c r="D1" s="88"/>
      <c r="E1" s="88"/>
      <c r="F1" s="113"/>
      <c r="G1" s="114"/>
    </row>
    <row r="2">
      <c r="B2" s="87"/>
      <c r="C2" s="88"/>
      <c r="D2" s="88"/>
      <c r="E2" s="88"/>
      <c r="F2" s="113"/>
      <c r="G2" s="114"/>
    </row>
    <row r="3">
      <c r="B3" s="115" t="s">
        <v>157</v>
      </c>
      <c r="C3" s="57"/>
      <c r="D3" s="57"/>
      <c r="E3" s="57"/>
      <c r="F3" s="57"/>
      <c r="G3" s="58"/>
      <c r="I3" s="116"/>
    </row>
    <row r="4">
      <c r="B4" s="117" t="s">
        <v>24</v>
      </c>
      <c r="C4" s="118" t="s">
        <v>1</v>
      </c>
      <c r="D4" s="57"/>
      <c r="E4" s="58"/>
      <c r="F4" s="119" t="s">
        <v>158</v>
      </c>
      <c r="G4" s="120" t="s">
        <v>159</v>
      </c>
    </row>
    <row r="5">
      <c r="B5" s="121"/>
      <c r="C5" s="122" t="s">
        <v>160</v>
      </c>
      <c r="D5" s="122" t="s">
        <v>161</v>
      </c>
      <c r="E5" s="122" t="s">
        <v>162</v>
      </c>
      <c r="F5" s="121"/>
      <c r="G5" s="121"/>
    </row>
    <row r="6">
      <c r="B6" s="123"/>
      <c r="C6" s="122" t="s">
        <v>32</v>
      </c>
      <c r="D6" s="122" t="s">
        <v>163</v>
      </c>
      <c r="E6" s="122" t="s">
        <v>25</v>
      </c>
      <c r="F6" s="123"/>
      <c r="G6" s="123"/>
    </row>
    <row r="7">
      <c r="B7" s="124">
        <v>46202.0</v>
      </c>
      <c r="C7" s="101">
        <f>SUMIFS(LIBERACION!$V:$V,LIBERACION!$Y:$Y,$B7,LIBERACION!$B:$B,C$6)</f>
        <v>76600</v>
      </c>
      <c r="D7" s="101">
        <f>SUMIFS(LIBERACION!$V:$V,LIBERACION!$Y:$Y,$B7,LIBERACION!$B:$B,D$6)</f>
        <v>0</v>
      </c>
      <c r="E7" s="101">
        <f>SUMIFS(LIBERACION!$V:$V,LIBERACION!$Y:$Y,$B7,LIBERACION!$B:$B,E$6)</f>
        <v>29100</v>
      </c>
      <c r="F7" s="102">
        <f t="shared" ref="F7:F10" si="1">SUM(C7:E7)</f>
        <v>105700</v>
      </c>
      <c r="G7" s="125"/>
    </row>
    <row r="8">
      <c r="B8" s="124">
        <v>46203.0</v>
      </c>
      <c r="C8" s="101">
        <f>SUMIFS(LIBERACION!$V:$V,LIBERACION!$Y:$Y,$B8,LIBERACION!$B:$B,C$6)</f>
        <v>36035</v>
      </c>
      <c r="D8" s="101">
        <f>SUMIFS(LIBERACION!$V:$V,LIBERACION!$Y:$Y,$B8,LIBERACION!$B:$B,D$6)</f>
        <v>0</v>
      </c>
      <c r="E8" s="101">
        <f>SUMIFS(LIBERACION!$V:$V,LIBERACION!$Y:$Y,$B8,LIBERACION!$B:$B,E$6)</f>
        <v>26350</v>
      </c>
      <c r="F8" s="126">
        <f t="shared" si="1"/>
        <v>62385</v>
      </c>
      <c r="G8" s="125" t="s">
        <v>174</v>
      </c>
    </row>
    <row r="9">
      <c r="B9" s="124">
        <v>46204.0</v>
      </c>
      <c r="C9" s="101">
        <f>SUMIFS(LIBERACION!$V:$V,LIBERACION!$Y:$Y,$B9,LIBERACION!$B:$B,C$6)</f>
        <v>43225</v>
      </c>
      <c r="D9" s="101">
        <f>SUMIFS(LIBERACION!$V:$V,LIBERACION!$Y:$Y,$B9,LIBERACION!$B:$B,D$6)</f>
        <v>0</v>
      </c>
      <c r="E9" s="101">
        <f>SUMIFS(LIBERACION!$V:$V,LIBERACION!$Y:$Y,$B9,LIBERACION!$B:$B,E$6)</f>
        <v>34025</v>
      </c>
      <c r="F9" s="126">
        <f t="shared" si="1"/>
        <v>77250</v>
      </c>
      <c r="G9" s="125" t="s">
        <v>175</v>
      </c>
    </row>
    <row r="10">
      <c r="B10" s="124">
        <v>46205.0</v>
      </c>
      <c r="C10" s="101">
        <f>SUMIFS(LIBERACION!$V:$V,LIBERACION!$Y:$Y,$B10,LIBERACION!$B:$B,C$6)</f>
        <v>60275</v>
      </c>
      <c r="D10" s="101">
        <f>SUMIFS(LIBERACION!$V:$V,LIBERACION!$Y:$Y,$B10,LIBERACION!$B:$B,D$6)</f>
        <v>0</v>
      </c>
      <c r="E10" s="101">
        <f>SUMIFS(LIBERACION!$V:$V,LIBERACION!$Y:$Y,$B10,LIBERACION!$B:$B,E$6)</f>
        <v>40100</v>
      </c>
      <c r="F10" s="102">
        <f t="shared" si="1"/>
        <v>100375</v>
      </c>
      <c r="G10" s="125"/>
    </row>
    <row r="11">
      <c r="B11" s="124">
        <v>46206.0</v>
      </c>
      <c r="C11" s="102">
        <v>58225.0</v>
      </c>
      <c r="D11" s="102">
        <v>0.0</v>
      </c>
      <c r="E11" s="102">
        <v>61300.0</v>
      </c>
      <c r="F11" s="102">
        <v>119525.0</v>
      </c>
      <c r="G11" s="125"/>
    </row>
    <row r="12">
      <c r="B12" s="87"/>
      <c r="C12" s="88"/>
      <c r="D12" s="88"/>
      <c r="E12" s="127" t="s">
        <v>166</v>
      </c>
      <c r="F12" s="101">
        <f> SUM( F7:F11 )</f>
        <v>465235</v>
      </c>
      <c r="G12" s="114"/>
    </row>
    <row r="13">
      <c r="B13" s="87"/>
      <c r="C13" s="88"/>
      <c r="D13" s="88"/>
      <c r="E13" s="88"/>
      <c r="F13" s="88"/>
      <c r="G13" s="114"/>
    </row>
    <row r="14">
      <c r="B14" s="87"/>
      <c r="C14" s="88"/>
      <c r="D14" s="88"/>
      <c r="E14" s="88"/>
      <c r="F14" s="88"/>
      <c r="G14" s="114"/>
    </row>
    <row r="15">
      <c r="B15" s="87"/>
      <c r="C15" s="88"/>
      <c r="D15" s="88"/>
      <c r="E15" s="88"/>
      <c r="F15" s="88"/>
      <c r="G15" s="128"/>
    </row>
    <row r="16">
      <c r="B16" s="115" t="s">
        <v>167</v>
      </c>
      <c r="C16" s="57"/>
      <c r="D16" s="57"/>
      <c r="E16" s="57"/>
      <c r="F16" s="58"/>
      <c r="G16" s="114"/>
    </row>
    <row r="17">
      <c r="B17" s="129" t="s">
        <v>24</v>
      </c>
      <c r="C17" s="130" t="s">
        <v>1</v>
      </c>
      <c r="D17" s="57"/>
      <c r="E17" s="58"/>
      <c r="F17" s="131" t="s">
        <v>168</v>
      </c>
      <c r="G17" s="114"/>
    </row>
    <row r="18">
      <c r="B18" s="121"/>
      <c r="C18" s="132" t="s">
        <v>160</v>
      </c>
      <c r="D18" s="132" t="s">
        <v>161</v>
      </c>
      <c r="E18" s="132" t="s">
        <v>162</v>
      </c>
      <c r="F18" s="121"/>
      <c r="G18" s="114"/>
    </row>
    <row r="19">
      <c r="B19" s="123"/>
      <c r="C19" s="132" t="s">
        <v>32</v>
      </c>
      <c r="D19" s="132" t="s">
        <v>163</v>
      </c>
      <c r="E19" s="132" t="s">
        <v>25</v>
      </c>
      <c r="F19" s="123"/>
      <c r="G19" s="114"/>
    </row>
    <row r="20">
      <c r="B20" s="124">
        <f t="shared" ref="B20:B24" si="3">B7</f>
        <v>46202</v>
      </c>
      <c r="C20" s="103">
        <f t="shared" ref="C20:E20" si="2">((C7*100)/500000)/100</f>
        <v>0.1532</v>
      </c>
      <c r="D20" s="103">
        <f t="shared" si="2"/>
        <v>0</v>
      </c>
      <c r="E20" s="103">
        <f t="shared" si="2"/>
        <v>0.0582</v>
      </c>
      <c r="F20" s="103">
        <f t="shared" ref="F20:F24" si="5">SUM(C20:E20)</f>
        <v>0.2114</v>
      </c>
      <c r="G20" s="114"/>
    </row>
    <row r="21">
      <c r="B21" s="124">
        <f t="shared" si="3"/>
        <v>46203</v>
      </c>
      <c r="C21" s="103">
        <f t="shared" ref="C21:E21" si="4">((C8*100)/500000)/100</f>
        <v>0.07207</v>
      </c>
      <c r="D21" s="103">
        <f t="shared" si="4"/>
        <v>0</v>
      </c>
      <c r="E21" s="103">
        <f t="shared" si="4"/>
        <v>0.0527</v>
      </c>
      <c r="F21" s="103">
        <f t="shared" si="5"/>
        <v>0.12477</v>
      </c>
      <c r="G21" s="114"/>
    </row>
    <row r="22">
      <c r="B22" s="124">
        <f t="shared" si="3"/>
        <v>46204</v>
      </c>
      <c r="C22" s="103">
        <f t="shared" ref="C22:E22" si="6">((C9*100)/500000)/100</f>
        <v>0.08645</v>
      </c>
      <c r="D22" s="103">
        <f t="shared" si="6"/>
        <v>0</v>
      </c>
      <c r="E22" s="103">
        <f t="shared" si="6"/>
        <v>0.06805</v>
      </c>
      <c r="F22" s="103">
        <f t="shared" si="5"/>
        <v>0.1545</v>
      </c>
      <c r="G22" s="114"/>
    </row>
    <row r="23">
      <c r="B23" s="124">
        <f t="shared" si="3"/>
        <v>46205</v>
      </c>
      <c r="C23" s="103">
        <f t="shared" ref="C23:E23" si="7">((C10*100)/500000)/100</f>
        <v>0.12055</v>
      </c>
      <c r="D23" s="103">
        <f t="shared" si="7"/>
        <v>0</v>
      </c>
      <c r="E23" s="103">
        <f t="shared" si="7"/>
        <v>0.0802</v>
      </c>
      <c r="F23" s="103">
        <f t="shared" si="5"/>
        <v>0.20075</v>
      </c>
      <c r="G23" s="114"/>
    </row>
    <row r="24">
      <c r="B24" s="124">
        <f t="shared" si="3"/>
        <v>46206</v>
      </c>
      <c r="C24" s="103">
        <f t="shared" ref="C24:E24" si="8">((C11*100)/500000)/100</f>
        <v>0.11645</v>
      </c>
      <c r="D24" s="103">
        <f t="shared" si="8"/>
        <v>0</v>
      </c>
      <c r="E24" s="103">
        <f t="shared" si="8"/>
        <v>0.1226</v>
      </c>
      <c r="F24" s="103">
        <f t="shared" si="5"/>
        <v>0.23905</v>
      </c>
      <c r="G24" s="114"/>
    </row>
    <row r="25">
      <c r="B25" s="87"/>
      <c r="C25" s="88"/>
      <c r="D25" s="88"/>
      <c r="E25" s="127" t="s">
        <v>169</v>
      </c>
      <c r="F25" s="103">
        <f>SUM(F20:F24)</f>
        <v>0.93047</v>
      </c>
      <c r="G25" s="114"/>
    </row>
    <row r="26">
      <c r="B26" s="87"/>
      <c r="C26" s="88"/>
      <c r="D26" s="88"/>
      <c r="E26" s="88"/>
      <c r="F26" s="88"/>
      <c r="G26" s="114"/>
    </row>
    <row r="27">
      <c r="B27" s="87"/>
      <c r="C27" s="88"/>
      <c r="D27" s="88"/>
      <c r="E27" s="88"/>
      <c r="F27" s="88"/>
      <c r="G27" s="114"/>
    </row>
    <row r="28">
      <c r="B28" s="87"/>
      <c r="C28" s="88"/>
      <c r="D28" s="88"/>
      <c r="E28" s="88"/>
      <c r="F28" s="88"/>
      <c r="G28" s="114"/>
    </row>
    <row r="29">
      <c r="B29" s="87"/>
      <c r="C29" s="88"/>
      <c r="D29" s="88"/>
      <c r="E29" s="88"/>
      <c r="F29" s="88"/>
      <c r="G29" s="114"/>
    </row>
    <row r="30">
      <c r="B30" s="87"/>
      <c r="C30" s="88"/>
      <c r="D30" s="88"/>
      <c r="E30" s="88"/>
      <c r="F30" s="88"/>
      <c r="G30" s="114"/>
    </row>
    <row r="31">
      <c r="B31" s="87"/>
      <c r="C31" s="88"/>
      <c r="D31" s="88"/>
      <c r="E31" s="88"/>
      <c r="F31" s="88"/>
      <c r="G31" s="114"/>
    </row>
    <row r="32">
      <c r="B32" s="87"/>
      <c r="C32" s="88"/>
      <c r="D32" s="88"/>
      <c r="E32" s="88"/>
      <c r="F32" s="88"/>
      <c r="G32" s="114"/>
    </row>
    <row r="33">
      <c r="B33" s="87"/>
      <c r="C33" s="88"/>
      <c r="D33" s="88"/>
      <c r="E33" s="88"/>
      <c r="F33" s="88"/>
      <c r="G33" s="114"/>
    </row>
    <row r="34">
      <c r="B34" s="87"/>
      <c r="C34" s="88"/>
      <c r="D34" s="88"/>
      <c r="E34" s="88"/>
      <c r="F34" s="88"/>
      <c r="G34" s="114"/>
    </row>
    <row r="35">
      <c r="B35" s="87"/>
      <c r="C35" s="88"/>
      <c r="D35" s="88"/>
      <c r="E35" s="88"/>
      <c r="F35" s="88"/>
      <c r="G35" s="114"/>
    </row>
    <row r="36">
      <c r="B36" s="87"/>
      <c r="C36" s="88"/>
      <c r="D36" s="88"/>
      <c r="E36" s="88"/>
      <c r="F36" s="88"/>
      <c r="G36" s="114"/>
    </row>
    <row r="37">
      <c r="B37" s="87"/>
      <c r="C37" s="88"/>
      <c r="D37" s="88"/>
      <c r="E37" s="88"/>
      <c r="F37" s="88"/>
      <c r="G37" s="114"/>
    </row>
    <row r="38">
      <c r="B38" s="87"/>
      <c r="C38" s="88"/>
      <c r="D38" s="88"/>
      <c r="E38" s="88"/>
      <c r="F38" s="88"/>
      <c r="G38" s="114"/>
    </row>
    <row r="39">
      <c r="B39" s="87"/>
      <c r="C39" s="88"/>
      <c r="D39" s="88"/>
      <c r="E39" s="88"/>
      <c r="F39" s="88"/>
      <c r="G39" s="114"/>
    </row>
    <row r="40">
      <c r="B40" s="87"/>
      <c r="C40" s="88"/>
      <c r="D40" s="88"/>
      <c r="E40" s="88"/>
      <c r="F40" s="88"/>
      <c r="G40" s="114"/>
    </row>
    <row r="41">
      <c r="B41" s="87"/>
      <c r="C41" s="88"/>
      <c r="D41" s="88"/>
      <c r="E41" s="88"/>
      <c r="F41" s="88"/>
      <c r="G41" s="114"/>
    </row>
    <row r="42">
      <c r="B42" s="87"/>
      <c r="C42" s="88"/>
      <c r="D42" s="88"/>
      <c r="E42" s="88"/>
      <c r="F42" s="88"/>
      <c r="G42" s="114"/>
    </row>
    <row r="43">
      <c r="B43" s="87"/>
      <c r="C43" s="88"/>
      <c r="D43" s="88"/>
      <c r="E43" s="88"/>
      <c r="F43" s="88"/>
      <c r="G43" s="114"/>
    </row>
    <row r="44">
      <c r="B44" s="87"/>
      <c r="C44" s="88"/>
      <c r="D44" s="88"/>
      <c r="E44" s="88"/>
      <c r="F44" s="88"/>
      <c r="G44" s="114"/>
    </row>
    <row r="45">
      <c r="B45" s="87"/>
      <c r="C45" s="88"/>
      <c r="D45" s="88"/>
      <c r="E45" s="88"/>
      <c r="F45" s="88"/>
      <c r="G45" s="114"/>
    </row>
    <row r="46">
      <c r="B46" s="87"/>
      <c r="C46" s="88"/>
      <c r="D46" s="88"/>
      <c r="E46" s="88"/>
      <c r="F46" s="88"/>
      <c r="G46" s="114"/>
    </row>
    <row r="47">
      <c r="B47" s="87"/>
      <c r="C47" s="88"/>
      <c r="D47" s="88"/>
      <c r="E47" s="88"/>
      <c r="F47" s="88"/>
      <c r="G47" s="114"/>
    </row>
    <row r="48">
      <c r="B48" s="87"/>
      <c r="C48" s="88"/>
      <c r="D48" s="88"/>
      <c r="E48" s="88"/>
      <c r="F48" s="88"/>
      <c r="G48" s="114"/>
    </row>
    <row r="49">
      <c r="B49" s="87"/>
      <c r="C49" s="88"/>
      <c r="D49" s="88"/>
      <c r="E49" s="88"/>
      <c r="F49" s="88"/>
      <c r="G49" s="114"/>
    </row>
    <row r="50">
      <c r="B50" s="87"/>
      <c r="C50" s="88"/>
      <c r="D50" s="88"/>
      <c r="E50" s="88"/>
      <c r="F50" s="88"/>
      <c r="G50" s="114"/>
    </row>
    <row r="51">
      <c r="B51" s="87"/>
      <c r="C51" s="88"/>
      <c r="D51" s="88"/>
      <c r="E51" s="88"/>
      <c r="F51" s="88"/>
      <c r="G51" s="114"/>
    </row>
    <row r="52">
      <c r="B52" s="87"/>
      <c r="C52" s="88"/>
      <c r="D52" s="88"/>
      <c r="E52" s="88"/>
      <c r="F52" s="88"/>
      <c r="G52" s="114"/>
    </row>
    <row r="53">
      <c r="B53" s="87"/>
      <c r="C53" s="88"/>
      <c r="D53" s="88"/>
      <c r="E53" s="88"/>
      <c r="F53" s="88"/>
      <c r="G53" s="114"/>
    </row>
    <row r="54">
      <c r="B54" s="87"/>
      <c r="C54" s="88"/>
      <c r="D54" s="88"/>
      <c r="E54" s="88"/>
      <c r="F54" s="88"/>
      <c r="G54" s="114"/>
    </row>
    <row r="55">
      <c r="B55" s="87"/>
      <c r="C55" s="88"/>
      <c r="D55" s="88"/>
      <c r="E55" s="88"/>
      <c r="F55" s="88"/>
      <c r="G55" s="114"/>
    </row>
    <row r="56">
      <c r="B56" s="87"/>
      <c r="C56" s="88"/>
      <c r="D56" s="88"/>
      <c r="E56" s="88"/>
      <c r="F56" s="88"/>
      <c r="G56" s="114"/>
    </row>
    <row r="57">
      <c r="B57" s="87"/>
      <c r="C57" s="88"/>
      <c r="D57" s="88"/>
      <c r="E57" s="88"/>
      <c r="F57" s="88"/>
      <c r="G57" s="114"/>
    </row>
    <row r="58">
      <c r="B58" s="87"/>
      <c r="C58" s="88"/>
      <c r="D58" s="88"/>
      <c r="E58" s="88"/>
      <c r="F58" s="88"/>
      <c r="G58" s="114"/>
    </row>
    <row r="59">
      <c r="B59" s="87"/>
      <c r="C59" s="88"/>
      <c r="D59" s="88"/>
      <c r="E59" s="88"/>
      <c r="F59" s="88"/>
      <c r="G59" s="114"/>
    </row>
    <row r="60">
      <c r="B60" s="87"/>
      <c r="C60" s="88"/>
      <c r="D60" s="88"/>
      <c r="E60" s="88"/>
      <c r="F60" s="88"/>
      <c r="G60" s="114"/>
    </row>
    <row r="61">
      <c r="B61" s="87"/>
      <c r="C61" s="88"/>
      <c r="D61" s="88"/>
      <c r="E61" s="88"/>
      <c r="F61" s="88"/>
      <c r="G61" s="114"/>
    </row>
    <row r="62">
      <c r="B62" s="87"/>
      <c r="C62" s="88"/>
      <c r="D62" s="88"/>
      <c r="E62" s="88"/>
      <c r="F62" s="88"/>
      <c r="G62" s="114"/>
    </row>
    <row r="63">
      <c r="B63" s="87"/>
      <c r="C63" s="88"/>
      <c r="D63" s="88"/>
      <c r="E63" s="88"/>
      <c r="F63" s="88"/>
      <c r="G63" s="114"/>
    </row>
    <row r="64">
      <c r="B64" s="87"/>
      <c r="C64" s="88"/>
      <c r="D64" s="88"/>
      <c r="E64" s="88"/>
      <c r="F64" s="88"/>
      <c r="G64" s="114"/>
    </row>
    <row r="65">
      <c r="B65" s="87"/>
      <c r="C65" s="88"/>
      <c r="D65" s="88"/>
      <c r="E65" s="88"/>
      <c r="F65" s="88"/>
      <c r="G65" s="114"/>
    </row>
    <row r="66">
      <c r="B66" s="87"/>
      <c r="C66" s="88"/>
      <c r="D66" s="88"/>
      <c r="E66" s="88"/>
      <c r="F66" s="88"/>
      <c r="G66" s="114"/>
    </row>
    <row r="67">
      <c r="B67" s="87"/>
      <c r="C67" s="88"/>
      <c r="D67" s="88"/>
      <c r="E67" s="88"/>
      <c r="F67" s="88"/>
      <c r="G67" s="114"/>
    </row>
    <row r="68">
      <c r="B68" s="87"/>
      <c r="C68" s="88"/>
      <c r="D68" s="88"/>
      <c r="E68" s="88"/>
      <c r="F68" s="88"/>
      <c r="G68" s="114"/>
    </row>
    <row r="69">
      <c r="B69" s="87"/>
      <c r="C69" s="88"/>
      <c r="D69" s="88"/>
      <c r="E69" s="88"/>
      <c r="F69" s="88"/>
      <c r="G69" s="114"/>
    </row>
    <row r="70">
      <c r="B70" s="87"/>
      <c r="C70" s="88"/>
      <c r="D70" s="88"/>
      <c r="E70" s="88"/>
      <c r="F70" s="88"/>
      <c r="G70" s="114"/>
    </row>
    <row r="71">
      <c r="B71" s="87"/>
      <c r="C71" s="88"/>
      <c r="D71" s="88"/>
      <c r="E71" s="88"/>
      <c r="F71" s="88"/>
      <c r="G71" s="114"/>
    </row>
    <row r="72">
      <c r="B72" s="87"/>
      <c r="C72" s="88"/>
      <c r="D72" s="88"/>
      <c r="E72" s="88"/>
      <c r="F72" s="88"/>
      <c r="G72" s="114"/>
    </row>
    <row r="73">
      <c r="B73" s="87"/>
      <c r="C73" s="88"/>
      <c r="D73" s="88"/>
      <c r="E73" s="88"/>
      <c r="F73" s="88"/>
      <c r="G73" s="114"/>
    </row>
    <row r="74">
      <c r="B74" s="87"/>
      <c r="C74" s="88"/>
      <c r="D74" s="88"/>
      <c r="E74" s="88"/>
      <c r="F74" s="88"/>
      <c r="G74" s="114"/>
    </row>
    <row r="75">
      <c r="B75" s="87"/>
      <c r="C75" s="88"/>
      <c r="D75" s="88"/>
      <c r="E75" s="88"/>
      <c r="F75" s="88"/>
      <c r="G75" s="114"/>
    </row>
    <row r="76">
      <c r="B76" s="87"/>
      <c r="C76" s="88"/>
      <c r="D76" s="88"/>
      <c r="E76" s="88"/>
      <c r="F76" s="88"/>
      <c r="G76" s="114"/>
    </row>
    <row r="77">
      <c r="B77" s="87"/>
      <c r="C77" s="88"/>
      <c r="D77" s="88"/>
      <c r="E77" s="88"/>
      <c r="F77" s="88"/>
      <c r="G77" s="114"/>
    </row>
    <row r="78">
      <c r="B78" s="87"/>
      <c r="C78" s="88"/>
      <c r="D78" s="88"/>
      <c r="E78" s="88"/>
      <c r="F78" s="88"/>
      <c r="G78" s="114"/>
    </row>
    <row r="79">
      <c r="B79" s="87"/>
      <c r="C79" s="88"/>
      <c r="D79" s="88"/>
      <c r="E79" s="88"/>
      <c r="F79" s="88"/>
      <c r="G79" s="114"/>
    </row>
    <row r="80">
      <c r="B80" s="87"/>
      <c r="C80" s="88"/>
      <c r="D80" s="88"/>
      <c r="E80" s="88"/>
      <c r="F80" s="88"/>
      <c r="G80" s="114"/>
    </row>
    <row r="81">
      <c r="B81" s="87"/>
      <c r="C81" s="88"/>
      <c r="D81" s="88"/>
      <c r="E81" s="88"/>
      <c r="F81" s="88"/>
      <c r="G81" s="114"/>
    </row>
    <row r="82">
      <c r="B82" s="87"/>
      <c r="C82" s="88"/>
      <c r="D82" s="88"/>
      <c r="E82" s="88"/>
      <c r="F82" s="88"/>
      <c r="G82" s="114"/>
    </row>
    <row r="83">
      <c r="B83" s="87"/>
      <c r="C83" s="88"/>
      <c r="D83" s="88"/>
      <c r="E83" s="88"/>
      <c r="F83" s="88"/>
      <c r="G83" s="114"/>
    </row>
    <row r="84">
      <c r="B84" s="87"/>
      <c r="C84" s="88"/>
      <c r="D84" s="88"/>
      <c r="E84" s="88"/>
      <c r="F84" s="88"/>
      <c r="G84" s="114"/>
    </row>
    <row r="85">
      <c r="B85" s="87"/>
      <c r="C85" s="88"/>
      <c r="D85" s="88"/>
      <c r="E85" s="88"/>
      <c r="F85" s="88"/>
      <c r="G85" s="114"/>
    </row>
    <row r="86">
      <c r="B86" s="87"/>
      <c r="C86" s="88"/>
      <c r="D86" s="88"/>
      <c r="E86" s="88"/>
      <c r="F86" s="88"/>
      <c r="G86" s="114"/>
    </row>
    <row r="87">
      <c r="B87" s="87"/>
      <c r="C87" s="88"/>
      <c r="D87" s="88"/>
      <c r="E87" s="88"/>
      <c r="F87" s="88"/>
      <c r="G87" s="114"/>
    </row>
    <row r="88">
      <c r="B88" s="87"/>
      <c r="C88" s="88"/>
      <c r="D88" s="88"/>
      <c r="E88" s="88"/>
      <c r="F88" s="88"/>
      <c r="G88" s="114"/>
    </row>
    <row r="89">
      <c r="B89" s="87"/>
      <c r="C89" s="88"/>
      <c r="D89" s="88"/>
      <c r="E89" s="88"/>
      <c r="F89" s="88"/>
      <c r="G89" s="114"/>
    </row>
    <row r="90">
      <c r="B90" s="87"/>
      <c r="C90" s="88"/>
      <c r="D90" s="88"/>
      <c r="E90" s="88"/>
      <c r="F90" s="88"/>
      <c r="G90" s="114"/>
    </row>
    <row r="91">
      <c r="B91" s="87"/>
      <c r="C91" s="88"/>
      <c r="D91" s="88"/>
      <c r="E91" s="88"/>
      <c r="F91" s="88"/>
      <c r="G91" s="114"/>
    </row>
    <row r="92">
      <c r="B92" s="87"/>
      <c r="C92" s="88"/>
      <c r="D92" s="88"/>
      <c r="E92" s="88"/>
      <c r="F92" s="88"/>
      <c r="G92" s="114"/>
    </row>
    <row r="93">
      <c r="B93" s="87"/>
      <c r="C93" s="88"/>
      <c r="D93" s="88"/>
      <c r="E93" s="88"/>
      <c r="F93" s="88"/>
      <c r="G93" s="114"/>
    </row>
    <row r="94">
      <c r="B94" s="87"/>
      <c r="C94" s="88"/>
      <c r="D94" s="88"/>
      <c r="E94" s="88"/>
      <c r="F94" s="88"/>
      <c r="G94" s="114"/>
    </row>
    <row r="95">
      <c r="B95" s="87"/>
      <c r="C95" s="88"/>
      <c r="D95" s="88"/>
      <c r="E95" s="88"/>
      <c r="F95" s="88"/>
      <c r="G95" s="114"/>
    </row>
    <row r="96">
      <c r="B96" s="87"/>
      <c r="C96" s="88"/>
      <c r="D96" s="88"/>
      <c r="E96" s="88"/>
      <c r="F96" s="88"/>
      <c r="G96" s="114"/>
    </row>
    <row r="97">
      <c r="B97" s="87"/>
      <c r="C97" s="88"/>
      <c r="D97" s="88"/>
      <c r="E97" s="88"/>
      <c r="F97" s="88"/>
      <c r="G97" s="114"/>
    </row>
    <row r="98">
      <c r="B98" s="87"/>
      <c r="C98" s="88"/>
      <c r="D98" s="88"/>
      <c r="E98" s="88"/>
      <c r="F98" s="88"/>
      <c r="G98" s="114"/>
    </row>
    <row r="99">
      <c r="B99" s="87"/>
      <c r="C99" s="88"/>
      <c r="D99" s="88"/>
      <c r="E99" s="88"/>
      <c r="F99" s="88"/>
      <c r="G99" s="114"/>
    </row>
    <row r="100">
      <c r="B100" s="87"/>
      <c r="C100" s="88"/>
      <c r="D100" s="88"/>
      <c r="E100" s="88"/>
      <c r="F100" s="88"/>
      <c r="G100" s="114"/>
    </row>
    <row r="101">
      <c r="B101" s="87"/>
      <c r="C101" s="88"/>
      <c r="D101" s="88"/>
      <c r="E101" s="88"/>
      <c r="F101" s="88"/>
      <c r="G101" s="114"/>
    </row>
    <row r="102">
      <c r="B102" s="87"/>
      <c r="C102" s="88"/>
      <c r="D102" s="88"/>
      <c r="E102" s="88"/>
      <c r="F102" s="88"/>
      <c r="G102" s="114"/>
    </row>
    <row r="103">
      <c r="B103" s="87"/>
      <c r="C103" s="88"/>
      <c r="D103" s="88"/>
      <c r="E103" s="88"/>
      <c r="F103" s="88"/>
      <c r="G103" s="114"/>
    </row>
    <row r="104">
      <c r="B104" s="87"/>
      <c r="C104" s="88"/>
      <c r="D104" s="88"/>
      <c r="E104" s="88"/>
      <c r="F104" s="88"/>
      <c r="G104" s="114"/>
    </row>
    <row r="105">
      <c r="B105" s="87"/>
      <c r="C105" s="88"/>
      <c r="D105" s="88"/>
      <c r="E105" s="88"/>
      <c r="F105" s="88"/>
      <c r="G105" s="114"/>
    </row>
    <row r="106">
      <c r="B106" s="87"/>
      <c r="C106" s="88"/>
      <c r="D106" s="88"/>
      <c r="E106" s="88"/>
      <c r="F106" s="88"/>
      <c r="G106" s="114"/>
    </row>
    <row r="107">
      <c r="B107" s="87"/>
      <c r="C107" s="88"/>
      <c r="D107" s="88"/>
      <c r="E107" s="88"/>
      <c r="F107" s="88"/>
      <c r="G107" s="114"/>
    </row>
    <row r="108">
      <c r="B108" s="87"/>
      <c r="C108" s="88"/>
      <c r="D108" s="88"/>
      <c r="E108" s="88"/>
      <c r="F108" s="88"/>
      <c r="G108" s="114"/>
    </row>
    <row r="109">
      <c r="B109" s="87"/>
      <c r="C109" s="88"/>
      <c r="D109" s="88"/>
      <c r="E109" s="88"/>
      <c r="F109" s="88"/>
      <c r="G109" s="114"/>
    </row>
    <row r="110">
      <c r="B110" s="87"/>
      <c r="C110" s="88"/>
      <c r="D110" s="88"/>
      <c r="E110" s="88"/>
      <c r="F110" s="88"/>
      <c r="G110" s="114"/>
    </row>
    <row r="111">
      <c r="B111" s="87"/>
      <c r="C111" s="88"/>
      <c r="D111" s="88"/>
      <c r="E111" s="88"/>
      <c r="F111" s="88"/>
      <c r="G111" s="114"/>
    </row>
    <row r="112">
      <c r="B112" s="87"/>
      <c r="C112" s="88"/>
      <c r="D112" s="88"/>
      <c r="E112" s="88"/>
      <c r="F112" s="88"/>
      <c r="G112" s="114"/>
    </row>
    <row r="113">
      <c r="B113" s="87"/>
      <c r="C113" s="88"/>
      <c r="D113" s="88"/>
      <c r="E113" s="88"/>
      <c r="F113" s="88"/>
      <c r="G113" s="114"/>
    </row>
    <row r="114">
      <c r="B114" s="87"/>
      <c r="C114" s="88"/>
      <c r="D114" s="88"/>
      <c r="E114" s="88"/>
      <c r="F114" s="88"/>
      <c r="G114" s="114"/>
    </row>
    <row r="115">
      <c r="B115" s="87"/>
      <c r="C115" s="88"/>
      <c r="D115" s="88"/>
      <c r="E115" s="88"/>
      <c r="F115" s="88"/>
      <c r="G115" s="114"/>
    </row>
    <row r="116">
      <c r="B116" s="87"/>
      <c r="C116" s="88"/>
      <c r="D116" s="88"/>
      <c r="E116" s="88"/>
      <c r="F116" s="88"/>
      <c r="G116" s="114"/>
    </row>
    <row r="117">
      <c r="B117" s="87"/>
      <c r="C117" s="88"/>
      <c r="D117" s="88"/>
      <c r="E117" s="88"/>
      <c r="F117" s="88"/>
      <c r="G117" s="114"/>
    </row>
    <row r="118">
      <c r="B118" s="87"/>
      <c r="C118" s="88"/>
      <c r="D118" s="88"/>
      <c r="E118" s="88"/>
      <c r="F118" s="88"/>
      <c r="G118" s="114"/>
    </row>
    <row r="119">
      <c r="B119" s="87"/>
      <c r="C119" s="88"/>
      <c r="D119" s="88"/>
      <c r="E119" s="88"/>
      <c r="F119" s="88"/>
      <c r="G119" s="114"/>
    </row>
    <row r="120">
      <c r="B120" s="87"/>
      <c r="C120" s="88"/>
      <c r="D120" s="88"/>
      <c r="E120" s="88"/>
      <c r="F120" s="88"/>
      <c r="G120" s="114"/>
    </row>
    <row r="121">
      <c r="B121" s="87"/>
      <c r="C121" s="88"/>
      <c r="D121" s="88"/>
      <c r="E121" s="88"/>
      <c r="F121" s="88"/>
      <c r="G121" s="114"/>
    </row>
    <row r="122">
      <c r="B122" s="87"/>
      <c r="C122" s="88"/>
      <c r="D122" s="88"/>
      <c r="E122" s="88"/>
      <c r="F122" s="88"/>
      <c r="G122" s="114"/>
    </row>
    <row r="123">
      <c r="B123" s="87"/>
      <c r="C123" s="88"/>
      <c r="D123" s="88"/>
      <c r="E123" s="88"/>
      <c r="F123" s="88"/>
      <c r="G123" s="114"/>
    </row>
    <row r="124">
      <c r="B124" s="87"/>
      <c r="C124" s="88"/>
      <c r="D124" s="88"/>
      <c r="E124" s="88"/>
      <c r="F124" s="88"/>
      <c r="G124" s="114"/>
    </row>
    <row r="125">
      <c r="B125" s="87"/>
      <c r="C125" s="88"/>
      <c r="D125" s="88"/>
      <c r="E125" s="88"/>
      <c r="F125" s="88"/>
      <c r="G125" s="114"/>
    </row>
    <row r="126">
      <c r="B126" s="87"/>
      <c r="C126" s="88"/>
      <c r="D126" s="88"/>
      <c r="E126" s="88"/>
      <c r="F126" s="88"/>
      <c r="G126" s="114"/>
    </row>
    <row r="127">
      <c r="B127" s="87"/>
      <c r="C127" s="88"/>
      <c r="D127" s="88"/>
      <c r="E127" s="88"/>
      <c r="F127" s="88"/>
      <c r="G127" s="114"/>
    </row>
    <row r="128">
      <c r="B128" s="87"/>
      <c r="C128" s="88"/>
      <c r="D128" s="88"/>
      <c r="E128" s="88"/>
      <c r="F128" s="88"/>
      <c r="G128" s="114"/>
    </row>
    <row r="129">
      <c r="B129" s="87"/>
      <c r="C129" s="88"/>
      <c r="D129" s="88"/>
      <c r="E129" s="88"/>
      <c r="F129" s="88"/>
      <c r="G129" s="114"/>
    </row>
    <row r="130">
      <c r="B130" s="87"/>
      <c r="C130" s="88"/>
      <c r="D130" s="88"/>
      <c r="E130" s="88"/>
      <c r="F130" s="88"/>
      <c r="G130" s="114"/>
    </row>
    <row r="131">
      <c r="B131" s="87"/>
      <c r="C131" s="88"/>
      <c r="D131" s="88"/>
      <c r="E131" s="88"/>
      <c r="F131" s="88"/>
      <c r="G131" s="114"/>
    </row>
    <row r="132">
      <c r="B132" s="87"/>
      <c r="C132" s="88"/>
      <c r="D132" s="88"/>
      <c r="E132" s="88"/>
      <c r="F132" s="88"/>
      <c r="G132" s="114"/>
    </row>
    <row r="133">
      <c r="B133" s="87"/>
      <c r="C133" s="88"/>
      <c r="D133" s="88"/>
      <c r="E133" s="88"/>
      <c r="F133" s="88"/>
      <c r="G133" s="114"/>
    </row>
    <row r="134">
      <c r="B134" s="87"/>
      <c r="C134" s="88"/>
      <c r="D134" s="88"/>
      <c r="E134" s="88"/>
      <c r="F134" s="88"/>
      <c r="G134" s="114"/>
    </row>
    <row r="135">
      <c r="B135" s="87"/>
      <c r="C135" s="88"/>
      <c r="D135" s="88"/>
      <c r="E135" s="88"/>
      <c r="F135" s="88"/>
      <c r="G135" s="114"/>
    </row>
    <row r="136">
      <c r="B136" s="87"/>
      <c r="C136" s="88"/>
      <c r="D136" s="88"/>
      <c r="E136" s="88"/>
      <c r="F136" s="88"/>
      <c r="G136" s="114"/>
    </row>
    <row r="137">
      <c r="B137" s="87"/>
      <c r="C137" s="88"/>
      <c r="D137" s="88"/>
      <c r="E137" s="88"/>
      <c r="F137" s="88"/>
      <c r="G137" s="114"/>
    </row>
    <row r="138">
      <c r="B138" s="87"/>
      <c r="C138" s="88"/>
      <c r="D138" s="88"/>
      <c r="E138" s="88"/>
      <c r="F138" s="88"/>
      <c r="G138" s="114"/>
    </row>
    <row r="139">
      <c r="B139" s="87"/>
      <c r="C139" s="88"/>
      <c r="D139" s="88"/>
      <c r="E139" s="88"/>
      <c r="F139" s="88"/>
      <c r="G139" s="114"/>
    </row>
    <row r="140">
      <c r="B140" s="87"/>
      <c r="C140" s="88"/>
      <c r="D140" s="88"/>
      <c r="E140" s="88"/>
      <c r="F140" s="88"/>
      <c r="G140" s="114"/>
    </row>
    <row r="141">
      <c r="B141" s="87"/>
      <c r="C141" s="88"/>
      <c r="D141" s="88"/>
      <c r="E141" s="88"/>
      <c r="F141" s="88"/>
      <c r="G141" s="114"/>
    </row>
    <row r="142">
      <c r="B142" s="87"/>
      <c r="C142" s="88"/>
      <c r="D142" s="88"/>
      <c r="E142" s="88"/>
      <c r="F142" s="88"/>
      <c r="G142" s="114"/>
    </row>
    <row r="143">
      <c r="B143" s="87"/>
      <c r="C143" s="88"/>
      <c r="D143" s="88"/>
      <c r="E143" s="88"/>
      <c r="F143" s="88"/>
      <c r="G143" s="114"/>
    </row>
    <row r="144">
      <c r="B144" s="87"/>
      <c r="C144" s="88"/>
      <c r="D144" s="88"/>
      <c r="E144" s="88"/>
      <c r="F144" s="88"/>
      <c r="G144" s="114"/>
    </row>
    <row r="145">
      <c r="B145" s="87"/>
      <c r="C145" s="88"/>
      <c r="D145" s="88"/>
      <c r="E145" s="88"/>
      <c r="F145" s="88"/>
      <c r="G145" s="114"/>
    </row>
    <row r="146">
      <c r="B146" s="87"/>
      <c r="C146" s="88"/>
      <c r="D146" s="88"/>
      <c r="E146" s="88"/>
      <c r="F146" s="88"/>
      <c r="G146" s="114"/>
    </row>
    <row r="147">
      <c r="B147" s="87"/>
      <c r="C147" s="88"/>
      <c r="D147" s="88"/>
      <c r="E147" s="88"/>
      <c r="F147" s="88"/>
      <c r="G147" s="114"/>
    </row>
    <row r="148">
      <c r="B148" s="87"/>
      <c r="C148" s="88"/>
      <c r="D148" s="88"/>
      <c r="E148" s="88"/>
      <c r="F148" s="88"/>
      <c r="G148" s="114"/>
    </row>
    <row r="149">
      <c r="B149" s="87"/>
      <c r="C149" s="88"/>
      <c r="D149" s="88"/>
      <c r="E149" s="88"/>
      <c r="F149" s="88"/>
      <c r="G149" s="114"/>
    </row>
    <row r="150">
      <c r="B150" s="87"/>
      <c r="C150" s="88"/>
      <c r="D150" s="88"/>
      <c r="E150" s="88"/>
      <c r="F150" s="88"/>
      <c r="G150" s="114"/>
    </row>
    <row r="151">
      <c r="B151" s="87"/>
      <c r="C151" s="88"/>
      <c r="D151" s="88"/>
      <c r="E151" s="88"/>
      <c r="F151" s="88"/>
      <c r="G151" s="114"/>
    </row>
    <row r="152">
      <c r="B152" s="87"/>
      <c r="C152" s="88"/>
      <c r="D152" s="88"/>
      <c r="E152" s="88"/>
      <c r="F152" s="88"/>
      <c r="G152" s="114"/>
    </row>
    <row r="153">
      <c r="B153" s="87"/>
      <c r="C153" s="88"/>
      <c r="D153" s="88"/>
      <c r="E153" s="88"/>
      <c r="F153" s="88"/>
      <c r="G153" s="114"/>
    </row>
    <row r="154">
      <c r="B154" s="87"/>
      <c r="C154" s="88"/>
      <c r="D154" s="88"/>
      <c r="E154" s="88"/>
      <c r="F154" s="88"/>
      <c r="G154" s="114"/>
    </row>
    <row r="155">
      <c r="B155" s="87"/>
      <c r="C155" s="88"/>
      <c r="D155" s="88"/>
      <c r="E155" s="88"/>
      <c r="F155" s="88"/>
      <c r="G155" s="114"/>
    </row>
    <row r="156">
      <c r="B156" s="87"/>
      <c r="C156" s="88"/>
      <c r="D156" s="88"/>
      <c r="E156" s="88"/>
      <c r="F156" s="88"/>
      <c r="G156" s="114"/>
    </row>
    <row r="157">
      <c r="B157" s="87"/>
      <c r="C157" s="88"/>
      <c r="D157" s="88"/>
      <c r="E157" s="88"/>
      <c r="F157" s="88"/>
      <c r="G157" s="114"/>
    </row>
    <row r="158">
      <c r="B158" s="87"/>
      <c r="C158" s="88"/>
      <c r="D158" s="88"/>
      <c r="E158" s="88"/>
      <c r="F158" s="88"/>
      <c r="G158" s="114"/>
    </row>
    <row r="159">
      <c r="B159" s="87"/>
      <c r="C159" s="88"/>
      <c r="D159" s="88"/>
      <c r="E159" s="88"/>
      <c r="F159" s="88"/>
      <c r="G159" s="114"/>
    </row>
    <row r="160">
      <c r="B160" s="87"/>
      <c r="C160" s="88"/>
      <c r="D160" s="88"/>
      <c r="E160" s="88"/>
      <c r="F160" s="88"/>
      <c r="G160" s="114"/>
    </row>
    <row r="161">
      <c r="B161" s="87"/>
      <c r="C161" s="88"/>
      <c r="D161" s="88"/>
      <c r="E161" s="88"/>
      <c r="F161" s="88"/>
      <c r="G161" s="114"/>
    </row>
    <row r="162">
      <c r="B162" s="87"/>
      <c r="C162" s="88"/>
      <c r="D162" s="88"/>
      <c r="E162" s="88"/>
      <c r="F162" s="88"/>
      <c r="G162" s="114"/>
    </row>
    <row r="163">
      <c r="B163" s="87"/>
      <c r="C163" s="88"/>
      <c r="D163" s="88"/>
      <c r="E163" s="88"/>
      <c r="F163" s="88"/>
      <c r="G163" s="114"/>
    </row>
    <row r="164">
      <c r="B164" s="87"/>
      <c r="C164" s="88"/>
      <c r="D164" s="88"/>
      <c r="E164" s="88"/>
      <c r="F164" s="88"/>
      <c r="G164" s="114"/>
    </row>
    <row r="165">
      <c r="B165" s="87"/>
      <c r="C165" s="88"/>
      <c r="D165" s="88"/>
      <c r="E165" s="88"/>
      <c r="F165" s="88"/>
      <c r="G165" s="114"/>
    </row>
    <row r="166">
      <c r="B166" s="87"/>
      <c r="C166" s="88"/>
      <c r="D166" s="88"/>
      <c r="E166" s="88"/>
      <c r="F166" s="88"/>
      <c r="G166" s="114"/>
    </row>
    <row r="167">
      <c r="B167" s="87"/>
      <c r="C167" s="88"/>
      <c r="D167" s="88"/>
      <c r="E167" s="88"/>
      <c r="F167" s="88"/>
      <c r="G167" s="114"/>
    </row>
    <row r="168">
      <c r="B168" s="87"/>
      <c r="C168" s="88"/>
      <c r="D168" s="88"/>
      <c r="E168" s="88"/>
      <c r="F168" s="88"/>
      <c r="G168" s="114"/>
    </row>
    <row r="169">
      <c r="B169" s="87"/>
      <c r="C169" s="88"/>
      <c r="D169" s="88"/>
      <c r="E169" s="88"/>
      <c r="F169" s="88"/>
      <c r="G169" s="114"/>
    </row>
    <row r="170">
      <c r="B170" s="87"/>
      <c r="C170" s="88"/>
      <c r="D170" s="88"/>
      <c r="E170" s="88"/>
      <c r="F170" s="88"/>
      <c r="G170" s="114"/>
    </row>
    <row r="171">
      <c r="B171" s="87"/>
      <c r="C171" s="88"/>
      <c r="D171" s="88"/>
      <c r="E171" s="88"/>
      <c r="F171" s="88"/>
      <c r="G171" s="114"/>
    </row>
    <row r="172">
      <c r="B172" s="87"/>
      <c r="C172" s="88"/>
      <c r="D172" s="88"/>
      <c r="E172" s="88"/>
      <c r="F172" s="88"/>
      <c r="G172" s="114"/>
    </row>
    <row r="173">
      <c r="B173" s="87"/>
      <c r="C173" s="88"/>
      <c r="D173" s="88"/>
      <c r="E173" s="88"/>
      <c r="F173" s="88"/>
      <c r="G173" s="114"/>
    </row>
    <row r="174">
      <c r="B174" s="87"/>
      <c r="C174" s="88"/>
      <c r="D174" s="88"/>
      <c r="E174" s="88"/>
      <c r="F174" s="88"/>
      <c r="G174" s="114"/>
    </row>
    <row r="175">
      <c r="B175" s="87"/>
      <c r="C175" s="88"/>
      <c r="D175" s="88"/>
      <c r="E175" s="88"/>
      <c r="F175" s="88"/>
      <c r="G175" s="114"/>
    </row>
    <row r="176">
      <c r="B176" s="87"/>
      <c r="C176" s="88"/>
      <c r="D176" s="88"/>
      <c r="E176" s="88"/>
      <c r="F176" s="88"/>
      <c r="G176" s="114"/>
    </row>
    <row r="177">
      <c r="B177" s="87"/>
      <c r="C177" s="88"/>
      <c r="D177" s="88"/>
      <c r="E177" s="88"/>
      <c r="F177" s="88"/>
      <c r="G177" s="114"/>
    </row>
    <row r="178">
      <c r="B178" s="87"/>
      <c r="C178" s="88"/>
      <c r="D178" s="88"/>
      <c r="E178" s="88"/>
      <c r="F178" s="88"/>
      <c r="G178" s="114"/>
    </row>
    <row r="179">
      <c r="B179" s="87"/>
      <c r="C179" s="88"/>
      <c r="D179" s="88"/>
      <c r="E179" s="88"/>
      <c r="F179" s="88"/>
      <c r="G179" s="114"/>
    </row>
    <row r="180">
      <c r="B180" s="87"/>
      <c r="C180" s="88"/>
      <c r="D180" s="88"/>
      <c r="E180" s="88"/>
      <c r="F180" s="88"/>
      <c r="G180" s="114"/>
    </row>
    <row r="181">
      <c r="B181" s="87"/>
      <c r="C181" s="88"/>
      <c r="D181" s="88"/>
      <c r="E181" s="88"/>
      <c r="F181" s="88"/>
      <c r="G181" s="114"/>
    </row>
    <row r="182">
      <c r="B182" s="87"/>
      <c r="C182" s="88"/>
      <c r="D182" s="88"/>
      <c r="E182" s="88"/>
      <c r="F182" s="88"/>
      <c r="G182" s="114"/>
    </row>
    <row r="183">
      <c r="B183" s="87"/>
      <c r="C183" s="88"/>
      <c r="D183" s="88"/>
      <c r="E183" s="88"/>
      <c r="F183" s="88"/>
      <c r="G183" s="114"/>
    </row>
    <row r="184">
      <c r="B184" s="87"/>
      <c r="C184" s="88"/>
      <c r="D184" s="88"/>
      <c r="E184" s="88"/>
      <c r="F184" s="88"/>
      <c r="G184" s="114"/>
    </row>
    <row r="185">
      <c r="B185" s="87"/>
      <c r="C185" s="88"/>
      <c r="D185" s="88"/>
      <c r="E185" s="88"/>
      <c r="F185" s="88"/>
      <c r="G185" s="114"/>
    </row>
    <row r="186">
      <c r="B186" s="87"/>
      <c r="C186" s="88"/>
      <c r="D186" s="88"/>
      <c r="E186" s="88"/>
      <c r="F186" s="88"/>
      <c r="G186" s="114"/>
    </row>
    <row r="187">
      <c r="B187" s="87"/>
      <c r="C187" s="88"/>
      <c r="D187" s="88"/>
      <c r="E187" s="88"/>
      <c r="F187" s="88"/>
      <c r="G187" s="114"/>
    </row>
    <row r="188">
      <c r="B188" s="87"/>
      <c r="C188" s="88"/>
      <c r="D188" s="88"/>
      <c r="E188" s="88"/>
      <c r="F188" s="88"/>
      <c r="G188" s="114"/>
    </row>
    <row r="189">
      <c r="B189" s="87"/>
      <c r="C189" s="88"/>
      <c r="D189" s="88"/>
      <c r="E189" s="88"/>
      <c r="F189" s="88"/>
      <c r="G189" s="114"/>
    </row>
    <row r="190">
      <c r="B190" s="87"/>
      <c r="C190" s="88"/>
      <c r="D190" s="88"/>
      <c r="E190" s="88"/>
      <c r="F190" s="88"/>
      <c r="G190" s="114"/>
    </row>
    <row r="191">
      <c r="B191" s="87"/>
      <c r="C191" s="88"/>
      <c r="D191" s="88"/>
      <c r="E191" s="88"/>
      <c r="F191" s="88"/>
      <c r="G191" s="114"/>
    </row>
    <row r="192">
      <c r="B192" s="87"/>
      <c r="C192" s="88"/>
      <c r="D192" s="88"/>
      <c r="E192" s="88"/>
      <c r="F192" s="88"/>
      <c r="G192" s="114"/>
    </row>
    <row r="193">
      <c r="B193" s="87"/>
      <c r="C193" s="88"/>
      <c r="D193" s="88"/>
      <c r="E193" s="88"/>
      <c r="F193" s="88"/>
      <c r="G193" s="114"/>
    </row>
    <row r="194">
      <c r="B194" s="87"/>
      <c r="C194" s="88"/>
      <c r="D194" s="88"/>
      <c r="E194" s="88"/>
      <c r="F194" s="88"/>
      <c r="G194" s="114"/>
    </row>
    <row r="195">
      <c r="B195" s="87"/>
      <c r="C195" s="88"/>
      <c r="D195" s="88"/>
      <c r="E195" s="88"/>
      <c r="F195" s="88"/>
      <c r="G195" s="114"/>
    </row>
    <row r="196">
      <c r="B196" s="87"/>
      <c r="C196" s="88"/>
      <c r="D196" s="88"/>
      <c r="E196" s="88"/>
      <c r="F196" s="88"/>
      <c r="G196" s="114"/>
    </row>
    <row r="197">
      <c r="B197" s="87"/>
      <c r="C197" s="88"/>
      <c r="D197" s="88"/>
      <c r="E197" s="88"/>
      <c r="F197" s="88"/>
      <c r="G197" s="114"/>
    </row>
    <row r="198">
      <c r="B198" s="87"/>
      <c r="C198" s="88"/>
      <c r="D198" s="88"/>
      <c r="E198" s="88"/>
      <c r="F198" s="88"/>
      <c r="G198" s="114"/>
    </row>
    <row r="199">
      <c r="B199" s="87"/>
      <c r="C199" s="88"/>
      <c r="D199" s="88"/>
      <c r="E199" s="88"/>
      <c r="F199" s="88"/>
      <c r="G199" s="114"/>
    </row>
    <row r="200">
      <c r="B200" s="87"/>
      <c r="C200" s="88"/>
      <c r="D200" s="88"/>
      <c r="E200" s="88"/>
      <c r="F200" s="88"/>
      <c r="G200" s="114"/>
    </row>
    <row r="201">
      <c r="B201" s="87"/>
      <c r="C201" s="88"/>
      <c r="D201" s="88"/>
      <c r="E201" s="88"/>
      <c r="F201" s="88"/>
      <c r="G201" s="114"/>
    </row>
    <row r="202">
      <c r="B202" s="87"/>
      <c r="C202" s="88"/>
      <c r="D202" s="88"/>
      <c r="E202" s="88"/>
      <c r="F202" s="88"/>
      <c r="G202" s="114"/>
    </row>
    <row r="203">
      <c r="B203" s="87"/>
      <c r="C203" s="88"/>
      <c r="D203" s="88"/>
      <c r="E203" s="88"/>
      <c r="F203" s="88"/>
      <c r="G203" s="114"/>
    </row>
    <row r="204">
      <c r="B204" s="87"/>
      <c r="C204" s="88"/>
      <c r="D204" s="88"/>
      <c r="E204" s="88"/>
      <c r="F204" s="88"/>
      <c r="G204" s="114"/>
    </row>
    <row r="205">
      <c r="B205" s="87"/>
      <c r="C205" s="88"/>
      <c r="D205" s="88"/>
      <c r="E205" s="88"/>
      <c r="F205" s="88"/>
      <c r="G205" s="114"/>
    </row>
    <row r="206">
      <c r="B206" s="87"/>
      <c r="C206" s="88"/>
      <c r="D206" s="88"/>
      <c r="E206" s="88"/>
      <c r="F206" s="88"/>
      <c r="G206" s="114"/>
    </row>
    <row r="207">
      <c r="B207" s="87"/>
      <c r="C207" s="88"/>
      <c r="D207" s="88"/>
      <c r="E207" s="88"/>
      <c r="F207" s="88"/>
      <c r="G207" s="114"/>
    </row>
    <row r="208">
      <c r="B208" s="87"/>
      <c r="C208" s="88"/>
      <c r="D208" s="88"/>
      <c r="E208" s="88"/>
      <c r="F208" s="88"/>
      <c r="G208" s="114"/>
    </row>
    <row r="209">
      <c r="B209" s="87"/>
      <c r="C209" s="88"/>
      <c r="D209" s="88"/>
      <c r="E209" s="88"/>
      <c r="F209" s="88"/>
      <c r="G209" s="114"/>
    </row>
    <row r="210">
      <c r="B210" s="87"/>
      <c r="C210" s="88"/>
      <c r="D210" s="88"/>
      <c r="E210" s="88"/>
      <c r="F210" s="88"/>
      <c r="G210" s="114"/>
    </row>
    <row r="211">
      <c r="B211" s="87"/>
      <c r="C211" s="88"/>
      <c r="D211" s="88"/>
      <c r="E211" s="88"/>
      <c r="F211" s="88"/>
      <c r="G211" s="114"/>
    </row>
    <row r="212">
      <c r="B212" s="87"/>
      <c r="C212" s="88"/>
      <c r="D212" s="88"/>
      <c r="E212" s="88"/>
      <c r="F212" s="88"/>
      <c r="G212" s="114"/>
    </row>
    <row r="213">
      <c r="B213" s="87"/>
      <c r="C213" s="88"/>
      <c r="D213" s="88"/>
      <c r="E213" s="88"/>
      <c r="F213" s="88"/>
      <c r="G213" s="114"/>
    </row>
    <row r="214">
      <c r="B214" s="87"/>
      <c r="C214" s="88"/>
      <c r="D214" s="88"/>
      <c r="E214" s="88"/>
      <c r="F214" s="88"/>
      <c r="G214" s="114"/>
    </row>
    <row r="215">
      <c r="B215" s="87"/>
      <c r="C215" s="88"/>
      <c r="D215" s="88"/>
      <c r="E215" s="88"/>
      <c r="F215" s="88"/>
      <c r="G215" s="114"/>
    </row>
    <row r="216">
      <c r="B216" s="87"/>
      <c r="C216" s="88"/>
      <c r="D216" s="88"/>
      <c r="E216" s="88"/>
      <c r="F216" s="88"/>
      <c r="G216" s="114"/>
    </row>
    <row r="217">
      <c r="B217" s="87"/>
      <c r="C217" s="88"/>
      <c r="D217" s="88"/>
      <c r="E217" s="88"/>
      <c r="F217" s="88"/>
      <c r="G217" s="114"/>
    </row>
    <row r="218">
      <c r="B218" s="87"/>
      <c r="C218" s="88"/>
      <c r="D218" s="88"/>
      <c r="E218" s="88"/>
      <c r="F218" s="88"/>
      <c r="G218" s="114"/>
    </row>
    <row r="219">
      <c r="B219" s="87"/>
      <c r="C219" s="88"/>
      <c r="D219" s="88"/>
      <c r="E219" s="88"/>
      <c r="F219" s="88"/>
      <c r="G219" s="114"/>
    </row>
    <row r="220">
      <c r="B220" s="87"/>
      <c r="C220" s="88"/>
      <c r="D220" s="88"/>
      <c r="E220" s="88"/>
      <c r="F220" s="88"/>
      <c r="G220" s="114"/>
    </row>
    <row r="221">
      <c r="B221" s="87"/>
      <c r="C221" s="88"/>
      <c r="D221" s="88"/>
      <c r="E221" s="88"/>
      <c r="F221" s="88"/>
      <c r="G221" s="114"/>
    </row>
    <row r="222">
      <c r="B222" s="87"/>
      <c r="C222" s="88"/>
      <c r="D222" s="88"/>
      <c r="E222" s="88"/>
      <c r="F222" s="88"/>
      <c r="G222" s="114"/>
    </row>
    <row r="223">
      <c r="B223" s="87"/>
      <c r="C223" s="88"/>
      <c r="D223" s="88"/>
      <c r="E223" s="88"/>
      <c r="F223" s="88"/>
      <c r="G223" s="114"/>
    </row>
    <row r="224">
      <c r="B224" s="87"/>
      <c r="C224" s="88"/>
      <c r="D224" s="88"/>
      <c r="E224" s="88"/>
      <c r="F224" s="88"/>
      <c r="G224" s="114"/>
    </row>
    <row r="225">
      <c r="B225" s="87"/>
      <c r="C225" s="88"/>
      <c r="D225" s="88"/>
      <c r="E225" s="88"/>
      <c r="F225" s="88"/>
      <c r="G225" s="114"/>
    </row>
    <row r="226">
      <c r="B226" s="87"/>
      <c r="C226" s="88"/>
      <c r="D226" s="88"/>
      <c r="E226" s="88"/>
      <c r="F226" s="88"/>
      <c r="G226" s="114"/>
    </row>
    <row r="227">
      <c r="B227" s="87"/>
      <c r="C227" s="88"/>
      <c r="D227" s="88"/>
      <c r="E227" s="88"/>
      <c r="F227" s="88"/>
      <c r="G227" s="114"/>
    </row>
    <row r="228">
      <c r="B228" s="87"/>
      <c r="C228" s="88"/>
      <c r="D228" s="88"/>
      <c r="E228" s="88"/>
      <c r="F228" s="88"/>
      <c r="G228" s="114"/>
    </row>
    <row r="229">
      <c r="B229" s="87"/>
      <c r="C229" s="88"/>
      <c r="D229" s="88"/>
      <c r="E229" s="88"/>
      <c r="F229" s="88"/>
      <c r="G229" s="114"/>
    </row>
    <row r="230">
      <c r="B230" s="87"/>
      <c r="C230" s="88"/>
      <c r="D230" s="88"/>
      <c r="E230" s="88"/>
      <c r="F230" s="88"/>
      <c r="G230" s="114"/>
    </row>
    <row r="231">
      <c r="B231" s="87"/>
      <c r="C231" s="88"/>
      <c r="D231" s="88"/>
      <c r="E231" s="88"/>
      <c r="F231" s="88"/>
      <c r="G231" s="114"/>
    </row>
    <row r="232">
      <c r="B232" s="87"/>
      <c r="C232" s="88"/>
      <c r="D232" s="88"/>
      <c r="E232" s="88"/>
      <c r="F232" s="88"/>
      <c r="G232" s="114"/>
    </row>
    <row r="233">
      <c r="B233" s="87"/>
      <c r="C233" s="88"/>
      <c r="D233" s="88"/>
      <c r="E233" s="88"/>
      <c r="F233" s="88"/>
      <c r="G233" s="114"/>
    </row>
    <row r="234">
      <c r="B234" s="87"/>
      <c r="C234" s="88"/>
      <c r="D234" s="88"/>
      <c r="E234" s="88"/>
      <c r="F234" s="88"/>
      <c r="G234" s="114"/>
    </row>
    <row r="235">
      <c r="B235" s="87"/>
      <c r="C235" s="88"/>
      <c r="D235" s="88"/>
      <c r="E235" s="88"/>
      <c r="F235" s="88"/>
      <c r="G235" s="114"/>
    </row>
    <row r="236">
      <c r="B236" s="87"/>
      <c r="C236" s="88"/>
      <c r="D236" s="88"/>
      <c r="E236" s="88"/>
      <c r="F236" s="88"/>
      <c r="G236" s="114"/>
    </row>
    <row r="237">
      <c r="B237" s="87"/>
      <c r="C237" s="88"/>
      <c r="D237" s="88"/>
      <c r="E237" s="88"/>
      <c r="F237" s="88"/>
      <c r="G237" s="114"/>
    </row>
    <row r="238">
      <c r="B238" s="87"/>
      <c r="C238" s="88"/>
      <c r="D238" s="88"/>
      <c r="E238" s="88"/>
      <c r="F238" s="88"/>
      <c r="G238" s="114"/>
    </row>
    <row r="239">
      <c r="B239" s="87"/>
      <c r="C239" s="88"/>
      <c r="D239" s="88"/>
      <c r="E239" s="88"/>
      <c r="F239" s="88"/>
      <c r="G239" s="114"/>
    </row>
    <row r="240">
      <c r="B240" s="87"/>
      <c r="C240" s="88"/>
      <c r="D240" s="88"/>
      <c r="E240" s="88"/>
      <c r="F240" s="88"/>
      <c r="G240" s="114"/>
    </row>
    <row r="241">
      <c r="B241" s="87"/>
      <c r="C241" s="88"/>
      <c r="D241" s="88"/>
      <c r="E241" s="88"/>
      <c r="F241" s="88"/>
      <c r="G241" s="114"/>
    </row>
    <row r="242">
      <c r="B242" s="87"/>
      <c r="C242" s="88"/>
      <c r="D242" s="88"/>
      <c r="E242" s="88"/>
      <c r="F242" s="88"/>
      <c r="G242" s="114"/>
    </row>
    <row r="243">
      <c r="B243" s="87"/>
      <c r="C243" s="88"/>
      <c r="D243" s="88"/>
      <c r="E243" s="88"/>
      <c r="F243" s="88"/>
      <c r="G243" s="114"/>
    </row>
    <row r="244">
      <c r="B244" s="87"/>
      <c r="C244" s="88"/>
      <c r="D244" s="88"/>
      <c r="E244" s="88"/>
      <c r="F244" s="88"/>
      <c r="G244" s="114"/>
    </row>
    <row r="245">
      <c r="B245" s="87"/>
      <c r="C245" s="88"/>
      <c r="D245" s="88"/>
      <c r="E245" s="88"/>
      <c r="F245" s="88"/>
      <c r="G245" s="114"/>
    </row>
    <row r="246">
      <c r="B246" s="87"/>
      <c r="C246" s="88"/>
      <c r="D246" s="88"/>
      <c r="E246" s="88"/>
      <c r="F246" s="88"/>
      <c r="G246" s="114"/>
    </row>
    <row r="247">
      <c r="B247" s="87"/>
      <c r="C247" s="88"/>
      <c r="D247" s="88"/>
      <c r="E247" s="88"/>
      <c r="F247" s="88"/>
      <c r="G247" s="114"/>
    </row>
    <row r="248">
      <c r="B248" s="87"/>
      <c r="C248" s="88"/>
      <c r="D248" s="88"/>
      <c r="E248" s="88"/>
      <c r="F248" s="88"/>
      <c r="G248" s="114"/>
    </row>
    <row r="249">
      <c r="B249" s="87"/>
      <c r="C249" s="88"/>
      <c r="D249" s="88"/>
      <c r="E249" s="88"/>
      <c r="F249" s="88"/>
      <c r="G249" s="114"/>
    </row>
    <row r="250">
      <c r="B250" s="87"/>
      <c r="C250" s="88"/>
      <c r="D250" s="88"/>
      <c r="E250" s="88"/>
      <c r="F250" s="88"/>
      <c r="G250" s="114"/>
    </row>
    <row r="251">
      <c r="B251" s="87"/>
      <c r="C251" s="88"/>
      <c r="D251" s="88"/>
      <c r="E251" s="88"/>
      <c r="F251" s="88"/>
      <c r="G251" s="114"/>
    </row>
    <row r="252">
      <c r="B252" s="87"/>
      <c r="C252" s="88"/>
      <c r="D252" s="88"/>
      <c r="E252" s="88"/>
      <c r="F252" s="88"/>
      <c r="G252" s="114"/>
    </row>
    <row r="253">
      <c r="B253" s="87"/>
      <c r="C253" s="88"/>
      <c r="D253" s="88"/>
      <c r="E253" s="88"/>
      <c r="F253" s="88"/>
      <c r="G253" s="114"/>
    </row>
    <row r="254">
      <c r="B254" s="87"/>
      <c r="C254" s="88"/>
      <c r="D254" s="88"/>
      <c r="E254" s="88"/>
      <c r="F254" s="88"/>
      <c r="G254" s="114"/>
    </row>
    <row r="255">
      <c r="B255" s="87"/>
      <c r="C255" s="88"/>
      <c r="D255" s="88"/>
      <c r="E255" s="88"/>
      <c r="F255" s="88"/>
      <c r="G255" s="114"/>
    </row>
    <row r="256">
      <c r="B256" s="87"/>
      <c r="C256" s="88"/>
      <c r="D256" s="88"/>
      <c r="E256" s="88"/>
      <c r="F256" s="88"/>
      <c r="G256" s="114"/>
    </row>
    <row r="257">
      <c r="B257" s="87"/>
      <c r="C257" s="88"/>
      <c r="D257" s="88"/>
      <c r="E257" s="88"/>
      <c r="F257" s="88"/>
      <c r="G257" s="114"/>
    </row>
    <row r="258">
      <c r="B258" s="87"/>
      <c r="C258" s="88"/>
      <c r="D258" s="88"/>
      <c r="E258" s="88"/>
      <c r="F258" s="88"/>
      <c r="G258" s="114"/>
    </row>
    <row r="259">
      <c r="B259" s="87"/>
      <c r="C259" s="88"/>
      <c r="D259" s="88"/>
      <c r="E259" s="88"/>
      <c r="F259" s="88"/>
      <c r="G259" s="114"/>
    </row>
    <row r="260">
      <c r="B260" s="87"/>
      <c r="C260" s="88"/>
      <c r="D260" s="88"/>
      <c r="E260" s="88"/>
      <c r="F260" s="88"/>
      <c r="G260" s="114"/>
    </row>
    <row r="261">
      <c r="B261" s="87"/>
      <c r="C261" s="88"/>
      <c r="D261" s="88"/>
      <c r="E261" s="88"/>
      <c r="F261" s="88"/>
      <c r="G261" s="114"/>
    </row>
    <row r="262">
      <c r="B262" s="87"/>
      <c r="C262" s="88"/>
      <c r="D262" s="88"/>
      <c r="E262" s="88"/>
      <c r="F262" s="88"/>
      <c r="G262" s="114"/>
    </row>
    <row r="263">
      <c r="B263" s="87"/>
      <c r="C263" s="88"/>
      <c r="D263" s="88"/>
      <c r="E263" s="88"/>
      <c r="F263" s="88"/>
      <c r="G263" s="114"/>
    </row>
    <row r="264">
      <c r="B264" s="87"/>
      <c r="C264" s="88"/>
      <c r="D264" s="88"/>
      <c r="E264" s="88"/>
      <c r="F264" s="88"/>
      <c r="G264" s="114"/>
    </row>
    <row r="265">
      <c r="B265" s="87"/>
      <c r="C265" s="88"/>
      <c r="D265" s="88"/>
      <c r="E265" s="88"/>
      <c r="F265" s="88"/>
      <c r="G265" s="114"/>
    </row>
    <row r="266">
      <c r="B266" s="87"/>
      <c r="C266" s="88"/>
      <c r="D266" s="88"/>
      <c r="E266" s="88"/>
      <c r="F266" s="88"/>
      <c r="G266" s="114"/>
    </row>
    <row r="267">
      <c r="B267" s="87"/>
      <c r="C267" s="88"/>
      <c r="D267" s="88"/>
      <c r="E267" s="88"/>
      <c r="F267" s="88"/>
      <c r="G267" s="114"/>
    </row>
    <row r="268">
      <c r="B268" s="87"/>
      <c r="C268" s="88"/>
      <c r="D268" s="88"/>
      <c r="E268" s="88"/>
      <c r="F268" s="88"/>
      <c r="G268" s="114"/>
    </row>
    <row r="269">
      <c r="B269" s="87"/>
      <c r="C269" s="88"/>
      <c r="D269" s="88"/>
      <c r="E269" s="88"/>
      <c r="F269" s="88"/>
      <c r="G269" s="114"/>
    </row>
    <row r="270">
      <c r="B270" s="87"/>
      <c r="C270" s="88"/>
      <c r="D270" s="88"/>
      <c r="E270" s="88"/>
      <c r="F270" s="88"/>
      <c r="G270" s="114"/>
    </row>
    <row r="271">
      <c r="B271" s="87"/>
      <c r="C271" s="88"/>
      <c r="D271" s="88"/>
      <c r="E271" s="88"/>
      <c r="F271" s="88"/>
      <c r="G271" s="114"/>
    </row>
    <row r="272">
      <c r="B272" s="87"/>
      <c r="C272" s="88"/>
      <c r="D272" s="88"/>
      <c r="E272" s="88"/>
      <c r="F272" s="88"/>
      <c r="G272" s="114"/>
    </row>
    <row r="273">
      <c r="B273" s="87"/>
      <c r="C273" s="88"/>
      <c r="D273" s="88"/>
      <c r="E273" s="88"/>
      <c r="F273" s="88"/>
      <c r="G273" s="114"/>
    </row>
    <row r="274">
      <c r="B274" s="87"/>
      <c r="C274" s="88"/>
      <c r="D274" s="88"/>
      <c r="E274" s="88"/>
      <c r="F274" s="88"/>
      <c r="G274" s="114"/>
    </row>
    <row r="275">
      <c r="B275" s="87"/>
      <c r="C275" s="88"/>
      <c r="D275" s="88"/>
      <c r="E275" s="88"/>
      <c r="F275" s="88"/>
      <c r="G275" s="114"/>
    </row>
    <row r="276">
      <c r="B276" s="87"/>
      <c r="C276" s="88"/>
      <c r="D276" s="88"/>
      <c r="E276" s="88"/>
      <c r="F276" s="88"/>
      <c r="G276" s="114"/>
    </row>
    <row r="277">
      <c r="B277" s="87"/>
      <c r="C277" s="88"/>
      <c r="D277" s="88"/>
      <c r="E277" s="88"/>
      <c r="F277" s="88"/>
      <c r="G277" s="114"/>
    </row>
    <row r="278">
      <c r="B278" s="87"/>
      <c r="C278" s="88"/>
      <c r="D278" s="88"/>
      <c r="E278" s="88"/>
      <c r="F278" s="88"/>
      <c r="G278" s="114"/>
    </row>
    <row r="279">
      <c r="B279" s="87"/>
      <c r="C279" s="88"/>
      <c r="D279" s="88"/>
      <c r="E279" s="88"/>
      <c r="F279" s="88"/>
      <c r="G279" s="114"/>
    </row>
    <row r="280">
      <c r="B280" s="87"/>
      <c r="C280" s="88"/>
      <c r="D280" s="88"/>
      <c r="E280" s="88"/>
      <c r="F280" s="88"/>
      <c r="G280" s="114"/>
    </row>
    <row r="281">
      <c r="B281" s="87"/>
      <c r="C281" s="88"/>
      <c r="D281" s="88"/>
      <c r="E281" s="88"/>
      <c r="F281" s="88"/>
      <c r="G281" s="114"/>
    </row>
    <row r="282">
      <c r="B282" s="87"/>
      <c r="C282" s="88"/>
      <c r="D282" s="88"/>
      <c r="E282" s="88"/>
      <c r="F282" s="88"/>
      <c r="G282" s="114"/>
    </row>
    <row r="283">
      <c r="B283" s="87"/>
      <c r="C283" s="88"/>
      <c r="D283" s="88"/>
      <c r="E283" s="88"/>
      <c r="F283" s="88"/>
      <c r="G283" s="114"/>
    </row>
    <row r="284">
      <c r="B284" s="87"/>
      <c r="C284" s="88"/>
      <c r="D284" s="88"/>
      <c r="E284" s="88"/>
      <c r="F284" s="88"/>
      <c r="G284" s="114"/>
    </row>
    <row r="285">
      <c r="B285" s="87"/>
      <c r="C285" s="88"/>
      <c r="D285" s="88"/>
      <c r="E285" s="88"/>
      <c r="F285" s="88"/>
      <c r="G285" s="114"/>
    </row>
    <row r="286">
      <c r="B286" s="87"/>
      <c r="C286" s="88"/>
      <c r="D286" s="88"/>
      <c r="E286" s="88"/>
      <c r="F286" s="88"/>
      <c r="G286" s="114"/>
    </row>
    <row r="287">
      <c r="B287" s="87"/>
      <c r="C287" s="88"/>
      <c r="D287" s="88"/>
      <c r="E287" s="88"/>
      <c r="F287" s="88"/>
      <c r="G287" s="114"/>
    </row>
    <row r="288">
      <c r="B288" s="87"/>
      <c r="C288" s="88"/>
      <c r="D288" s="88"/>
      <c r="E288" s="88"/>
      <c r="F288" s="88"/>
      <c r="G288" s="114"/>
    </row>
    <row r="289">
      <c r="B289" s="87"/>
      <c r="C289" s="88"/>
      <c r="D289" s="88"/>
      <c r="E289" s="88"/>
      <c r="F289" s="88"/>
      <c r="G289" s="114"/>
    </row>
    <row r="290">
      <c r="B290" s="87"/>
      <c r="C290" s="88"/>
      <c r="D290" s="88"/>
      <c r="E290" s="88"/>
      <c r="F290" s="88"/>
      <c r="G290" s="114"/>
    </row>
    <row r="291">
      <c r="B291" s="87"/>
      <c r="C291" s="88"/>
      <c r="D291" s="88"/>
      <c r="E291" s="88"/>
      <c r="F291" s="88"/>
      <c r="G291" s="114"/>
    </row>
    <row r="292">
      <c r="B292" s="87"/>
      <c r="C292" s="88"/>
      <c r="D292" s="88"/>
      <c r="E292" s="88"/>
      <c r="F292" s="88"/>
      <c r="G292" s="114"/>
    </row>
    <row r="293">
      <c r="B293" s="87"/>
      <c r="C293" s="88"/>
      <c r="D293" s="88"/>
      <c r="E293" s="88"/>
      <c r="F293" s="88"/>
      <c r="G293" s="114"/>
    </row>
    <row r="294">
      <c r="B294" s="87"/>
      <c r="C294" s="88"/>
      <c r="D294" s="88"/>
      <c r="E294" s="88"/>
      <c r="F294" s="88"/>
      <c r="G294" s="114"/>
    </row>
    <row r="295">
      <c r="B295" s="87"/>
      <c r="C295" s="88"/>
      <c r="D295" s="88"/>
      <c r="E295" s="88"/>
      <c r="F295" s="88"/>
      <c r="G295" s="114"/>
    </row>
    <row r="296">
      <c r="B296" s="87"/>
      <c r="C296" s="88"/>
      <c r="D296" s="88"/>
      <c r="E296" s="88"/>
      <c r="F296" s="88"/>
      <c r="G296" s="114"/>
    </row>
    <row r="297">
      <c r="B297" s="87"/>
      <c r="C297" s="88"/>
      <c r="D297" s="88"/>
      <c r="E297" s="88"/>
      <c r="F297" s="88"/>
      <c r="G297" s="114"/>
    </row>
    <row r="298">
      <c r="B298" s="87"/>
      <c r="C298" s="88"/>
      <c r="D298" s="88"/>
      <c r="E298" s="88"/>
      <c r="F298" s="88"/>
      <c r="G298" s="114"/>
    </row>
    <row r="299">
      <c r="B299" s="87"/>
      <c r="C299" s="88"/>
      <c r="D299" s="88"/>
      <c r="E299" s="88"/>
      <c r="F299" s="88"/>
      <c r="G299" s="114"/>
    </row>
    <row r="300">
      <c r="B300" s="87"/>
      <c r="C300" s="88"/>
      <c r="D300" s="88"/>
      <c r="E300" s="88"/>
      <c r="F300" s="88"/>
      <c r="G300" s="114"/>
    </row>
    <row r="301">
      <c r="B301" s="87"/>
      <c r="C301" s="88"/>
      <c r="D301" s="88"/>
      <c r="E301" s="88"/>
      <c r="F301" s="88"/>
      <c r="G301" s="114"/>
    </row>
    <row r="302">
      <c r="B302" s="87"/>
      <c r="C302" s="88"/>
      <c r="D302" s="88"/>
      <c r="E302" s="88"/>
      <c r="F302" s="88"/>
      <c r="G302" s="114"/>
    </row>
    <row r="303">
      <c r="B303" s="87"/>
      <c r="C303" s="88"/>
      <c r="D303" s="88"/>
      <c r="E303" s="88"/>
      <c r="F303" s="88"/>
      <c r="G303" s="114"/>
    </row>
    <row r="304">
      <c r="B304" s="87"/>
      <c r="C304" s="88"/>
      <c r="D304" s="88"/>
      <c r="E304" s="88"/>
      <c r="F304" s="88"/>
      <c r="G304" s="114"/>
    </row>
    <row r="305">
      <c r="B305" s="87"/>
      <c r="C305" s="88"/>
      <c r="D305" s="88"/>
      <c r="E305" s="88"/>
      <c r="F305" s="88"/>
      <c r="G305" s="114"/>
    </row>
    <row r="306">
      <c r="B306" s="87"/>
      <c r="C306" s="88"/>
      <c r="D306" s="88"/>
      <c r="E306" s="88"/>
      <c r="F306" s="88"/>
      <c r="G306" s="114"/>
    </row>
    <row r="307">
      <c r="B307" s="87"/>
      <c r="C307" s="88"/>
      <c r="D307" s="88"/>
      <c r="E307" s="88"/>
      <c r="F307" s="88"/>
      <c r="G307" s="114"/>
    </row>
    <row r="308">
      <c r="B308" s="87"/>
      <c r="C308" s="88"/>
      <c r="D308" s="88"/>
      <c r="E308" s="88"/>
      <c r="F308" s="88"/>
      <c r="G308" s="114"/>
    </row>
    <row r="309">
      <c r="B309" s="87"/>
      <c r="C309" s="88"/>
      <c r="D309" s="88"/>
      <c r="E309" s="88"/>
      <c r="F309" s="88"/>
      <c r="G309" s="114"/>
    </row>
    <row r="310">
      <c r="B310" s="87"/>
      <c r="C310" s="88"/>
      <c r="D310" s="88"/>
      <c r="E310" s="88"/>
      <c r="F310" s="88"/>
      <c r="G310" s="114"/>
    </row>
    <row r="311">
      <c r="B311" s="87"/>
      <c r="C311" s="88"/>
      <c r="D311" s="88"/>
      <c r="E311" s="88"/>
      <c r="F311" s="88"/>
      <c r="G311" s="114"/>
    </row>
    <row r="312">
      <c r="B312" s="87"/>
      <c r="C312" s="88"/>
      <c r="D312" s="88"/>
      <c r="E312" s="88"/>
      <c r="F312" s="88"/>
      <c r="G312" s="114"/>
    </row>
    <row r="313">
      <c r="B313" s="87"/>
      <c r="C313" s="88"/>
      <c r="D313" s="88"/>
      <c r="E313" s="88"/>
      <c r="F313" s="88"/>
      <c r="G313" s="114"/>
    </row>
    <row r="314">
      <c r="B314" s="87"/>
      <c r="C314" s="88"/>
      <c r="D314" s="88"/>
      <c r="E314" s="88"/>
      <c r="F314" s="88"/>
      <c r="G314" s="114"/>
    </row>
    <row r="315">
      <c r="B315" s="87"/>
      <c r="C315" s="88"/>
      <c r="D315" s="88"/>
      <c r="E315" s="88"/>
      <c r="F315" s="88"/>
      <c r="G315" s="114"/>
    </row>
    <row r="316">
      <c r="B316" s="87"/>
      <c r="C316" s="88"/>
      <c r="D316" s="88"/>
      <c r="E316" s="88"/>
      <c r="F316" s="88"/>
      <c r="G316" s="114"/>
    </row>
    <row r="317">
      <c r="B317" s="87"/>
      <c r="C317" s="88"/>
      <c r="D317" s="88"/>
      <c r="E317" s="88"/>
      <c r="F317" s="88"/>
      <c r="G317" s="114"/>
    </row>
    <row r="318">
      <c r="B318" s="87"/>
      <c r="C318" s="88"/>
      <c r="D318" s="88"/>
      <c r="E318" s="88"/>
      <c r="F318" s="88"/>
      <c r="G318" s="114"/>
    </row>
    <row r="319">
      <c r="B319" s="87"/>
      <c r="C319" s="88"/>
      <c r="D319" s="88"/>
      <c r="E319" s="88"/>
      <c r="F319" s="88"/>
      <c r="G319" s="114"/>
    </row>
    <row r="320">
      <c r="B320" s="87"/>
      <c r="C320" s="88"/>
      <c r="D320" s="88"/>
      <c r="E320" s="88"/>
      <c r="F320" s="88"/>
      <c r="G320" s="114"/>
    </row>
    <row r="321">
      <c r="B321" s="87"/>
      <c r="C321" s="88"/>
      <c r="D321" s="88"/>
      <c r="E321" s="88"/>
      <c r="F321" s="88"/>
      <c r="G321" s="114"/>
    </row>
    <row r="322">
      <c r="B322" s="87"/>
      <c r="C322" s="88"/>
      <c r="D322" s="88"/>
      <c r="E322" s="88"/>
      <c r="F322" s="88"/>
      <c r="G322" s="114"/>
    </row>
    <row r="323">
      <c r="B323" s="87"/>
      <c r="C323" s="88"/>
      <c r="D323" s="88"/>
      <c r="E323" s="88"/>
      <c r="F323" s="88"/>
      <c r="G323" s="114"/>
    </row>
    <row r="324">
      <c r="B324" s="87"/>
      <c r="C324" s="88"/>
      <c r="D324" s="88"/>
      <c r="E324" s="88"/>
      <c r="F324" s="88"/>
      <c r="G324" s="114"/>
    </row>
    <row r="325">
      <c r="B325" s="87"/>
      <c r="C325" s="88"/>
      <c r="D325" s="88"/>
      <c r="E325" s="88"/>
      <c r="F325" s="88"/>
      <c r="G325" s="114"/>
    </row>
    <row r="326">
      <c r="B326" s="87"/>
      <c r="C326" s="88"/>
      <c r="D326" s="88"/>
      <c r="E326" s="88"/>
      <c r="F326" s="88"/>
      <c r="G326" s="114"/>
    </row>
    <row r="327">
      <c r="B327" s="87"/>
      <c r="C327" s="88"/>
      <c r="D327" s="88"/>
      <c r="E327" s="88"/>
      <c r="F327" s="88"/>
      <c r="G327" s="114"/>
    </row>
    <row r="328">
      <c r="B328" s="87"/>
      <c r="C328" s="88"/>
      <c r="D328" s="88"/>
      <c r="E328" s="88"/>
      <c r="F328" s="88"/>
      <c r="G328" s="114"/>
    </row>
    <row r="329">
      <c r="B329" s="87"/>
      <c r="C329" s="88"/>
      <c r="D329" s="88"/>
      <c r="E329" s="88"/>
      <c r="F329" s="88"/>
      <c r="G329" s="114"/>
    </row>
    <row r="330">
      <c r="B330" s="87"/>
      <c r="C330" s="88"/>
      <c r="D330" s="88"/>
      <c r="E330" s="88"/>
      <c r="F330" s="88"/>
      <c r="G330" s="114"/>
    </row>
    <row r="331">
      <c r="B331" s="87"/>
      <c r="C331" s="88"/>
      <c r="D331" s="88"/>
      <c r="E331" s="88"/>
      <c r="F331" s="88"/>
      <c r="G331" s="114"/>
    </row>
    <row r="332">
      <c r="B332" s="87"/>
      <c r="C332" s="88"/>
      <c r="D332" s="88"/>
      <c r="E332" s="88"/>
      <c r="F332" s="88"/>
      <c r="G332" s="114"/>
    </row>
    <row r="333">
      <c r="B333" s="87"/>
      <c r="C333" s="88"/>
      <c r="D333" s="88"/>
      <c r="E333" s="88"/>
      <c r="F333" s="88"/>
      <c r="G333" s="114"/>
    </row>
    <row r="334">
      <c r="B334" s="87"/>
      <c r="C334" s="88"/>
      <c r="D334" s="88"/>
      <c r="E334" s="88"/>
      <c r="F334" s="88"/>
      <c r="G334" s="114"/>
    </row>
    <row r="335">
      <c r="B335" s="87"/>
      <c r="C335" s="88"/>
      <c r="D335" s="88"/>
      <c r="E335" s="88"/>
      <c r="F335" s="88"/>
      <c r="G335" s="114"/>
    </row>
    <row r="336">
      <c r="B336" s="87"/>
      <c r="C336" s="88"/>
      <c r="D336" s="88"/>
      <c r="E336" s="88"/>
      <c r="F336" s="88"/>
      <c r="G336" s="114"/>
    </row>
    <row r="337">
      <c r="B337" s="87"/>
      <c r="C337" s="88"/>
      <c r="D337" s="88"/>
      <c r="E337" s="88"/>
      <c r="F337" s="88"/>
      <c r="G337" s="114"/>
    </row>
    <row r="338">
      <c r="B338" s="87"/>
      <c r="C338" s="88"/>
      <c r="D338" s="88"/>
      <c r="E338" s="88"/>
      <c r="F338" s="88"/>
      <c r="G338" s="114"/>
    </row>
    <row r="339">
      <c r="B339" s="87"/>
      <c r="C339" s="88"/>
      <c r="D339" s="88"/>
      <c r="E339" s="88"/>
      <c r="F339" s="88"/>
      <c r="G339" s="114"/>
    </row>
    <row r="340">
      <c r="B340" s="87"/>
      <c r="C340" s="88"/>
      <c r="D340" s="88"/>
      <c r="E340" s="88"/>
      <c r="F340" s="88"/>
      <c r="G340" s="114"/>
    </row>
    <row r="341">
      <c r="B341" s="87"/>
      <c r="C341" s="88"/>
      <c r="D341" s="88"/>
      <c r="E341" s="88"/>
      <c r="F341" s="88"/>
      <c r="G341" s="114"/>
    </row>
    <row r="342">
      <c r="B342" s="87"/>
      <c r="C342" s="88"/>
      <c r="D342" s="88"/>
      <c r="E342" s="88"/>
      <c r="F342" s="88"/>
      <c r="G342" s="114"/>
    </row>
    <row r="343">
      <c r="B343" s="87"/>
      <c r="C343" s="88"/>
      <c r="D343" s="88"/>
      <c r="E343" s="88"/>
      <c r="F343" s="88"/>
      <c r="G343" s="114"/>
    </row>
    <row r="344">
      <c r="B344" s="87"/>
      <c r="C344" s="88"/>
      <c r="D344" s="88"/>
      <c r="E344" s="88"/>
      <c r="F344" s="88"/>
      <c r="G344" s="114"/>
    </row>
    <row r="345">
      <c r="B345" s="87"/>
      <c r="C345" s="88"/>
      <c r="D345" s="88"/>
      <c r="E345" s="88"/>
      <c r="F345" s="88"/>
      <c r="G345" s="114"/>
    </row>
    <row r="346">
      <c r="B346" s="87"/>
      <c r="C346" s="88"/>
      <c r="D346" s="88"/>
      <c r="E346" s="88"/>
      <c r="F346" s="88"/>
      <c r="G346" s="114"/>
    </row>
    <row r="347">
      <c r="B347" s="87"/>
      <c r="C347" s="88"/>
      <c r="D347" s="88"/>
      <c r="E347" s="88"/>
      <c r="F347" s="88"/>
      <c r="G347" s="114"/>
    </row>
    <row r="348">
      <c r="B348" s="87"/>
      <c r="C348" s="88"/>
      <c r="D348" s="88"/>
      <c r="E348" s="88"/>
      <c r="F348" s="88"/>
      <c r="G348" s="114"/>
    </row>
    <row r="349">
      <c r="B349" s="87"/>
      <c r="C349" s="88"/>
      <c r="D349" s="88"/>
      <c r="E349" s="88"/>
      <c r="F349" s="88"/>
      <c r="G349" s="114"/>
    </row>
    <row r="350">
      <c r="B350" s="87"/>
      <c r="C350" s="88"/>
      <c r="D350" s="88"/>
      <c r="E350" s="88"/>
      <c r="F350" s="88"/>
      <c r="G350" s="114"/>
    </row>
    <row r="351">
      <c r="B351" s="87"/>
      <c r="C351" s="88"/>
      <c r="D351" s="88"/>
      <c r="E351" s="88"/>
      <c r="F351" s="88"/>
      <c r="G351" s="114"/>
    </row>
    <row r="352">
      <c r="B352" s="87"/>
      <c r="C352" s="88"/>
      <c r="D352" s="88"/>
      <c r="E352" s="88"/>
      <c r="F352" s="88"/>
      <c r="G352" s="114"/>
    </row>
    <row r="353">
      <c r="B353" s="87"/>
      <c r="C353" s="88"/>
      <c r="D353" s="88"/>
      <c r="E353" s="88"/>
      <c r="F353" s="88"/>
      <c r="G353" s="114"/>
    </row>
    <row r="354">
      <c r="B354" s="87"/>
      <c r="C354" s="88"/>
      <c r="D354" s="88"/>
      <c r="E354" s="88"/>
      <c r="F354" s="88"/>
      <c r="G354" s="114"/>
    </row>
    <row r="355">
      <c r="B355" s="87"/>
      <c r="C355" s="88"/>
      <c r="D355" s="88"/>
      <c r="E355" s="88"/>
      <c r="F355" s="88"/>
      <c r="G355" s="114"/>
    </row>
    <row r="356">
      <c r="B356" s="87"/>
      <c r="C356" s="88"/>
      <c r="D356" s="88"/>
      <c r="E356" s="88"/>
      <c r="F356" s="88"/>
      <c r="G356" s="114"/>
    </row>
    <row r="357">
      <c r="B357" s="87"/>
      <c r="C357" s="88"/>
      <c r="D357" s="88"/>
      <c r="E357" s="88"/>
      <c r="F357" s="88"/>
      <c r="G357" s="114"/>
    </row>
    <row r="358">
      <c r="B358" s="87"/>
      <c r="C358" s="88"/>
      <c r="D358" s="88"/>
      <c r="E358" s="88"/>
      <c r="F358" s="88"/>
      <c r="G358" s="114"/>
    </row>
    <row r="359">
      <c r="B359" s="87"/>
      <c r="C359" s="88"/>
      <c r="D359" s="88"/>
      <c r="E359" s="88"/>
      <c r="F359" s="88"/>
      <c r="G359" s="114"/>
    </row>
    <row r="360">
      <c r="B360" s="87"/>
      <c r="C360" s="88"/>
      <c r="D360" s="88"/>
      <c r="E360" s="88"/>
      <c r="F360" s="88"/>
      <c r="G360" s="114"/>
    </row>
    <row r="361">
      <c r="B361" s="87"/>
      <c r="C361" s="88"/>
      <c r="D361" s="88"/>
      <c r="E361" s="88"/>
      <c r="F361" s="88"/>
      <c r="G361" s="114"/>
    </row>
    <row r="362">
      <c r="B362" s="87"/>
      <c r="C362" s="88"/>
      <c r="D362" s="88"/>
      <c r="E362" s="88"/>
      <c r="F362" s="88"/>
      <c r="G362" s="114"/>
    </row>
    <row r="363">
      <c r="B363" s="87"/>
      <c r="C363" s="88"/>
      <c r="D363" s="88"/>
      <c r="E363" s="88"/>
      <c r="F363" s="88"/>
      <c r="G363" s="114"/>
    </row>
    <row r="364">
      <c r="B364" s="87"/>
      <c r="C364" s="88"/>
      <c r="D364" s="88"/>
      <c r="E364" s="88"/>
      <c r="F364" s="88"/>
      <c r="G364" s="114"/>
    </row>
    <row r="365">
      <c r="B365" s="87"/>
      <c r="C365" s="88"/>
      <c r="D365" s="88"/>
      <c r="E365" s="88"/>
      <c r="F365" s="88"/>
      <c r="G365" s="114"/>
    </row>
    <row r="366">
      <c r="B366" s="87"/>
      <c r="C366" s="88"/>
      <c r="D366" s="88"/>
      <c r="E366" s="88"/>
      <c r="F366" s="88"/>
      <c r="G366" s="114"/>
    </row>
    <row r="367">
      <c r="B367" s="87"/>
      <c r="C367" s="88"/>
      <c r="D367" s="88"/>
      <c r="E367" s="88"/>
      <c r="F367" s="88"/>
      <c r="G367" s="114"/>
    </row>
    <row r="368">
      <c r="B368" s="87"/>
      <c r="C368" s="88"/>
      <c r="D368" s="88"/>
      <c r="E368" s="88"/>
      <c r="F368" s="88"/>
      <c r="G368" s="114"/>
    </row>
    <row r="369">
      <c r="B369" s="87"/>
      <c r="C369" s="88"/>
      <c r="D369" s="88"/>
      <c r="E369" s="88"/>
      <c r="F369" s="88"/>
      <c r="G369" s="114"/>
    </row>
    <row r="370">
      <c r="B370" s="87"/>
      <c r="C370" s="88"/>
      <c r="D370" s="88"/>
      <c r="E370" s="88"/>
      <c r="F370" s="88"/>
      <c r="G370" s="114"/>
    </row>
    <row r="371">
      <c r="B371" s="87"/>
      <c r="C371" s="88"/>
      <c r="D371" s="88"/>
      <c r="E371" s="88"/>
      <c r="F371" s="88"/>
      <c r="G371" s="114"/>
    </row>
    <row r="372">
      <c r="B372" s="87"/>
      <c r="C372" s="88"/>
      <c r="D372" s="88"/>
      <c r="E372" s="88"/>
      <c r="F372" s="88"/>
      <c r="G372" s="114"/>
    </row>
    <row r="373">
      <c r="B373" s="87"/>
      <c r="C373" s="88"/>
      <c r="D373" s="88"/>
      <c r="E373" s="88"/>
      <c r="F373" s="88"/>
      <c r="G373" s="114"/>
    </row>
    <row r="374">
      <c r="B374" s="87"/>
      <c r="C374" s="88"/>
      <c r="D374" s="88"/>
      <c r="E374" s="88"/>
      <c r="F374" s="88"/>
      <c r="G374" s="114"/>
    </row>
    <row r="375">
      <c r="B375" s="87"/>
      <c r="C375" s="88"/>
      <c r="D375" s="88"/>
      <c r="E375" s="88"/>
      <c r="F375" s="88"/>
      <c r="G375" s="114"/>
    </row>
    <row r="376">
      <c r="B376" s="87"/>
      <c r="C376" s="88"/>
      <c r="D376" s="88"/>
      <c r="E376" s="88"/>
      <c r="F376" s="88"/>
      <c r="G376" s="114"/>
    </row>
    <row r="377">
      <c r="B377" s="87"/>
      <c r="C377" s="88"/>
      <c r="D377" s="88"/>
      <c r="E377" s="88"/>
      <c r="F377" s="88"/>
      <c r="G377" s="114"/>
    </row>
    <row r="378">
      <c r="B378" s="87"/>
      <c r="C378" s="88"/>
      <c r="D378" s="88"/>
      <c r="E378" s="88"/>
      <c r="F378" s="88"/>
      <c r="G378" s="114"/>
    </row>
    <row r="379">
      <c r="B379" s="87"/>
      <c r="C379" s="88"/>
      <c r="D379" s="88"/>
      <c r="E379" s="88"/>
      <c r="F379" s="88"/>
      <c r="G379" s="114"/>
    </row>
    <row r="380">
      <c r="B380" s="87"/>
      <c r="C380" s="88"/>
      <c r="D380" s="88"/>
      <c r="E380" s="88"/>
      <c r="F380" s="88"/>
      <c r="G380" s="114"/>
    </row>
    <row r="381">
      <c r="B381" s="87"/>
      <c r="C381" s="88"/>
      <c r="D381" s="88"/>
      <c r="E381" s="88"/>
      <c r="F381" s="88"/>
      <c r="G381" s="114"/>
    </row>
    <row r="382">
      <c r="B382" s="87"/>
      <c r="C382" s="88"/>
      <c r="D382" s="88"/>
      <c r="E382" s="88"/>
      <c r="F382" s="88"/>
      <c r="G382" s="114"/>
    </row>
    <row r="383">
      <c r="B383" s="87"/>
      <c r="C383" s="88"/>
      <c r="D383" s="88"/>
      <c r="E383" s="88"/>
      <c r="F383" s="88"/>
      <c r="G383" s="114"/>
    </row>
    <row r="384">
      <c r="B384" s="87"/>
      <c r="C384" s="88"/>
      <c r="D384" s="88"/>
      <c r="E384" s="88"/>
      <c r="F384" s="88"/>
      <c r="G384" s="114"/>
    </row>
    <row r="385">
      <c r="B385" s="87"/>
      <c r="C385" s="88"/>
      <c r="D385" s="88"/>
      <c r="E385" s="88"/>
      <c r="F385" s="88"/>
      <c r="G385" s="114"/>
    </row>
    <row r="386">
      <c r="B386" s="87"/>
      <c r="C386" s="88"/>
      <c r="D386" s="88"/>
      <c r="E386" s="88"/>
      <c r="F386" s="88"/>
      <c r="G386" s="114"/>
    </row>
    <row r="387">
      <c r="B387" s="87"/>
      <c r="C387" s="88"/>
      <c r="D387" s="88"/>
      <c r="E387" s="88"/>
      <c r="F387" s="88"/>
      <c r="G387" s="114"/>
    </row>
    <row r="388">
      <c r="B388" s="87"/>
      <c r="C388" s="88"/>
      <c r="D388" s="88"/>
      <c r="E388" s="88"/>
      <c r="F388" s="88"/>
      <c r="G388" s="114"/>
    </row>
    <row r="389">
      <c r="B389" s="87"/>
      <c r="C389" s="88"/>
      <c r="D389" s="88"/>
      <c r="E389" s="88"/>
      <c r="F389" s="88"/>
      <c r="G389" s="114"/>
    </row>
    <row r="390">
      <c r="B390" s="87"/>
      <c r="C390" s="88"/>
      <c r="D390" s="88"/>
      <c r="E390" s="88"/>
      <c r="F390" s="88"/>
      <c r="G390" s="114"/>
    </row>
    <row r="391">
      <c r="B391" s="87"/>
      <c r="C391" s="88"/>
      <c r="D391" s="88"/>
      <c r="E391" s="88"/>
      <c r="F391" s="88"/>
      <c r="G391" s="114"/>
    </row>
    <row r="392">
      <c r="B392" s="87"/>
      <c r="C392" s="88"/>
      <c r="D392" s="88"/>
      <c r="E392" s="88"/>
      <c r="F392" s="88"/>
      <c r="G392" s="114"/>
    </row>
    <row r="393">
      <c r="B393" s="87"/>
      <c r="C393" s="88"/>
      <c r="D393" s="88"/>
      <c r="E393" s="88"/>
      <c r="F393" s="88"/>
      <c r="G393" s="114"/>
    </row>
    <row r="394">
      <c r="B394" s="87"/>
      <c r="C394" s="88"/>
      <c r="D394" s="88"/>
      <c r="E394" s="88"/>
      <c r="F394" s="88"/>
      <c r="G394" s="114"/>
    </row>
    <row r="395">
      <c r="B395" s="87"/>
      <c r="C395" s="88"/>
      <c r="D395" s="88"/>
      <c r="E395" s="88"/>
      <c r="F395" s="88"/>
      <c r="G395" s="114"/>
    </row>
    <row r="396">
      <c r="B396" s="87"/>
      <c r="C396" s="88"/>
      <c r="D396" s="88"/>
      <c r="E396" s="88"/>
      <c r="F396" s="88"/>
      <c r="G396" s="114"/>
    </row>
    <row r="397">
      <c r="B397" s="87"/>
      <c r="C397" s="88"/>
      <c r="D397" s="88"/>
      <c r="E397" s="88"/>
      <c r="F397" s="88"/>
      <c r="G397" s="114"/>
    </row>
    <row r="398">
      <c r="B398" s="87"/>
      <c r="C398" s="88"/>
      <c r="D398" s="88"/>
      <c r="E398" s="88"/>
      <c r="F398" s="88"/>
      <c r="G398" s="114"/>
    </row>
    <row r="399">
      <c r="B399" s="87"/>
      <c r="C399" s="88"/>
      <c r="D399" s="88"/>
      <c r="E399" s="88"/>
      <c r="F399" s="88"/>
      <c r="G399" s="114"/>
    </row>
    <row r="400">
      <c r="B400" s="87"/>
      <c r="C400" s="88"/>
      <c r="D400" s="88"/>
      <c r="E400" s="88"/>
      <c r="F400" s="88"/>
      <c r="G400" s="114"/>
    </row>
    <row r="401">
      <c r="B401" s="87"/>
      <c r="C401" s="88"/>
      <c r="D401" s="88"/>
      <c r="E401" s="88"/>
      <c r="F401" s="88"/>
      <c r="G401" s="114"/>
    </row>
    <row r="402">
      <c r="B402" s="87"/>
      <c r="C402" s="88"/>
      <c r="D402" s="88"/>
      <c r="E402" s="88"/>
      <c r="F402" s="88"/>
      <c r="G402" s="114"/>
    </row>
    <row r="403">
      <c r="B403" s="87"/>
      <c r="C403" s="88"/>
      <c r="D403" s="88"/>
      <c r="E403" s="88"/>
      <c r="F403" s="88"/>
      <c r="G403" s="114"/>
    </row>
    <row r="404">
      <c r="B404" s="87"/>
      <c r="C404" s="88"/>
      <c r="D404" s="88"/>
      <c r="E404" s="88"/>
      <c r="F404" s="88"/>
      <c r="G404" s="114"/>
    </row>
    <row r="405">
      <c r="B405" s="87"/>
      <c r="C405" s="88"/>
      <c r="D405" s="88"/>
      <c r="E405" s="88"/>
      <c r="F405" s="88"/>
      <c r="G405" s="114"/>
    </row>
    <row r="406">
      <c r="B406" s="87"/>
      <c r="C406" s="88"/>
      <c r="D406" s="88"/>
      <c r="E406" s="88"/>
      <c r="F406" s="88"/>
      <c r="G406" s="114"/>
    </row>
    <row r="407">
      <c r="B407" s="87"/>
      <c r="C407" s="88"/>
      <c r="D407" s="88"/>
      <c r="E407" s="88"/>
      <c r="F407" s="88"/>
      <c r="G407" s="114"/>
    </row>
    <row r="408">
      <c r="B408" s="87"/>
      <c r="C408" s="88"/>
      <c r="D408" s="88"/>
      <c r="E408" s="88"/>
      <c r="F408" s="88"/>
      <c r="G408" s="114"/>
    </row>
    <row r="409">
      <c r="B409" s="87"/>
      <c r="C409" s="88"/>
      <c r="D409" s="88"/>
      <c r="E409" s="88"/>
      <c r="F409" s="88"/>
      <c r="G409" s="114"/>
    </row>
    <row r="410">
      <c r="B410" s="87"/>
      <c r="C410" s="88"/>
      <c r="D410" s="88"/>
      <c r="E410" s="88"/>
      <c r="F410" s="88"/>
      <c r="G410" s="114"/>
    </row>
    <row r="411">
      <c r="B411" s="87"/>
      <c r="C411" s="88"/>
      <c r="D411" s="88"/>
      <c r="E411" s="88"/>
      <c r="F411" s="88"/>
      <c r="G411" s="114"/>
    </row>
    <row r="412">
      <c r="B412" s="87"/>
      <c r="C412" s="88"/>
      <c r="D412" s="88"/>
      <c r="E412" s="88"/>
      <c r="F412" s="88"/>
      <c r="G412" s="114"/>
    </row>
    <row r="413">
      <c r="B413" s="87"/>
      <c r="C413" s="88"/>
      <c r="D413" s="88"/>
      <c r="E413" s="88"/>
      <c r="F413" s="88"/>
      <c r="G413" s="114"/>
    </row>
    <row r="414">
      <c r="B414" s="87"/>
      <c r="C414" s="88"/>
      <c r="D414" s="88"/>
      <c r="E414" s="88"/>
      <c r="F414" s="88"/>
      <c r="G414" s="114"/>
    </row>
    <row r="415">
      <c r="B415" s="87"/>
      <c r="C415" s="88"/>
      <c r="D415" s="88"/>
      <c r="E415" s="88"/>
      <c r="F415" s="88"/>
      <c r="G415" s="114"/>
    </row>
    <row r="416">
      <c r="B416" s="87"/>
      <c r="C416" s="88"/>
      <c r="D416" s="88"/>
      <c r="E416" s="88"/>
      <c r="F416" s="88"/>
      <c r="G416" s="114"/>
    </row>
    <row r="417">
      <c r="B417" s="87"/>
      <c r="C417" s="88"/>
      <c r="D417" s="88"/>
      <c r="E417" s="88"/>
      <c r="F417" s="88"/>
      <c r="G417" s="114"/>
    </row>
    <row r="418">
      <c r="B418" s="87"/>
      <c r="C418" s="88"/>
      <c r="D418" s="88"/>
      <c r="E418" s="88"/>
      <c r="F418" s="88"/>
      <c r="G418" s="114"/>
    </row>
    <row r="419">
      <c r="B419" s="87"/>
      <c r="C419" s="88"/>
      <c r="D419" s="88"/>
      <c r="E419" s="88"/>
      <c r="F419" s="88"/>
      <c r="G419" s="114"/>
    </row>
    <row r="420">
      <c r="B420" s="87"/>
      <c r="C420" s="88"/>
      <c r="D420" s="88"/>
      <c r="E420" s="88"/>
      <c r="F420" s="88"/>
      <c r="G420" s="114"/>
    </row>
    <row r="421">
      <c r="B421" s="87"/>
      <c r="C421" s="88"/>
      <c r="D421" s="88"/>
      <c r="E421" s="88"/>
      <c r="F421" s="88"/>
      <c r="G421" s="114"/>
    </row>
    <row r="422">
      <c r="B422" s="87"/>
      <c r="C422" s="88"/>
      <c r="D422" s="88"/>
      <c r="E422" s="88"/>
      <c r="F422" s="88"/>
      <c r="G422" s="114"/>
    </row>
    <row r="423">
      <c r="B423" s="87"/>
      <c r="C423" s="88"/>
      <c r="D423" s="88"/>
      <c r="E423" s="88"/>
      <c r="F423" s="88"/>
      <c r="G423" s="114"/>
    </row>
    <row r="424">
      <c r="B424" s="87"/>
      <c r="C424" s="88"/>
      <c r="D424" s="88"/>
      <c r="E424" s="88"/>
      <c r="F424" s="88"/>
      <c r="G424" s="114"/>
    </row>
    <row r="425">
      <c r="B425" s="87"/>
      <c r="C425" s="88"/>
      <c r="D425" s="88"/>
      <c r="E425" s="88"/>
      <c r="F425" s="88"/>
      <c r="G425" s="114"/>
    </row>
    <row r="426">
      <c r="B426" s="87"/>
      <c r="C426" s="88"/>
      <c r="D426" s="88"/>
      <c r="E426" s="88"/>
      <c r="F426" s="88"/>
      <c r="G426" s="114"/>
    </row>
    <row r="427">
      <c r="B427" s="87"/>
      <c r="C427" s="88"/>
      <c r="D427" s="88"/>
      <c r="E427" s="88"/>
      <c r="F427" s="88"/>
      <c r="G427" s="114"/>
    </row>
    <row r="428">
      <c r="B428" s="87"/>
      <c r="C428" s="88"/>
      <c r="D428" s="88"/>
      <c r="E428" s="88"/>
      <c r="F428" s="88"/>
      <c r="G428" s="114"/>
    </row>
    <row r="429">
      <c r="B429" s="87"/>
      <c r="C429" s="88"/>
      <c r="D429" s="88"/>
      <c r="E429" s="88"/>
      <c r="F429" s="88"/>
      <c r="G429" s="114"/>
    </row>
    <row r="430">
      <c r="B430" s="87"/>
      <c r="C430" s="88"/>
      <c r="D430" s="88"/>
      <c r="E430" s="88"/>
      <c r="F430" s="88"/>
      <c r="G430" s="114"/>
    </row>
    <row r="431">
      <c r="B431" s="87"/>
      <c r="C431" s="88"/>
      <c r="D431" s="88"/>
      <c r="E431" s="88"/>
      <c r="F431" s="88"/>
      <c r="G431" s="114"/>
    </row>
    <row r="432">
      <c r="B432" s="87"/>
      <c r="C432" s="88"/>
      <c r="D432" s="88"/>
      <c r="E432" s="88"/>
      <c r="F432" s="88"/>
      <c r="G432" s="114"/>
    </row>
    <row r="433">
      <c r="B433" s="87"/>
      <c r="C433" s="88"/>
      <c r="D433" s="88"/>
      <c r="E433" s="88"/>
      <c r="F433" s="88"/>
      <c r="G433" s="114"/>
    </row>
    <row r="434">
      <c r="B434" s="87"/>
      <c r="C434" s="88"/>
      <c r="D434" s="88"/>
      <c r="E434" s="88"/>
      <c r="F434" s="88"/>
      <c r="G434" s="114"/>
    </row>
    <row r="435">
      <c r="B435" s="87"/>
      <c r="C435" s="88"/>
      <c r="D435" s="88"/>
      <c r="E435" s="88"/>
      <c r="F435" s="88"/>
      <c r="G435" s="114"/>
    </row>
    <row r="436">
      <c r="B436" s="87"/>
      <c r="C436" s="88"/>
      <c r="D436" s="88"/>
      <c r="E436" s="88"/>
      <c r="F436" s="88"/>
      <c r="G436" s="114"/>
    </row>
    <row r="437">
      <c r="B437" s="87"/>
      <c r="C437" s="88"/>
      <c r="D437" s="88"/>
      <c r="E437" s="88"/>
      <c r="F437" s="88"/>
      <c r="G437" s="114"/>
    </row>
    <row r="438">
      <c r="B438" s="87"/>
      <c r="C438" s="88"/>
      <c r="D438" s="88"/>
      <c r="E438" s="88"/>
      <c r="F438" s="88"/>
      <c r="G438" s="114"/>
    </row>
    <row r="439">
      <c r="B439" s="87"/>
      <c r="C439" s="88"/>
      <c r="D439" s="88"/>
      <c r="E439" s="88"/>
      <c r="F439" s="88"/>
      <c r="G439" s="114"/>
    </row>
    <row r="440">
      <c r="B440" s="87"/>
      <c r="C440" s="88"/>
      <c r="D440" s="88"/>
      <c r="E440" s="88"/>
      <c r="F440" s="88"/>
      <c r="G440" s="114"/>
    </row>
    <row r="441">
      <c r="B441" s="87"/>
      <c r="C441" s="88"/>
      <c r="D441" s="88"/>
      <c r="E441" s="88"/>
      <c r="F441" s="88"/>
      <c r="G441" s="114"/>
    </row>
    <row r="442">
      <c r="B442" s="87"/>
      <c r="C442" s="88"/>
      <c r="D442" s="88"/>
      <c r="E442" s="88"/>
      <c r="F442" s="88"/>
      <c r="G442" s="114"/>
    </row>
    <row r="443">
      <c r="B443" s="87"/>
      <c r="C443" s="88"/>
      <c r="D443" s="88"/>
      <c r="E443" s="88"/>
      <c r="F443" s="88"/>
      <c r="G443" s="114"/>
    </row>
    <row r="444">
      <c r="B444" s="87"/>
      <c r="C444" s="88"/>
      <c r="D444" s="88"/>
      <c r="E444" s="88"/>
      <c r="F444" s="88"/>
      <c r="G444" s="114"/>
    </row>
    <row r="445">
      <c r="B445" s="87"/>
      <c r="C445" s="88"/>
      <c r="D445" s="88"/>
      <c r="E445" s="88"/>
      <c r="F445" s="88"/>
      <c r="G445" s="114"/>
    </row>
    <row r="446">
      <c r="B446" s="87"/>
      <c r="C446" s="88"/>
      <c r="D446" s="88"/>
      <c r="E446" s="88"/>
      <c r="F446" s="88"/>
      <c r="G446" s="114"/>
    </row>
    <row r="447">
      <c r="B447" s="87"/>
      <c r="C447" s="88"/>
      <c r="D447" s="88"/>
      <c r="E447" s="88"/>
      <c r="F447" s="88"/>
      <c r="G447" s="114"/>
    </row>
    <row r="448">
      <c r="B448" s="87"/>
      <c r="C448" s="88"/>
      <c r="D448" s="88"/>
      <c r="E448" s="88"/>
      <c r="F448" s="88"/>
      <c r="G448" s="114"/>
    </row>
    <row r="449">
      <c r="B449" s="87"/>
      <c r="C449" s="88"/>
      <c r="D449" s="88"/>
      <c r="E449" s="88"/>
      <c r="F449" s="88"/>
      <c r="G449" s="114"/>
    </row>
    <row r="450">
      <c r="B450" s="87"/>
      <c r="C450" s="88"/>
      <c r="D450" s="88"/>
      <c r="E450" s="88"/>
      <c r="F450" s="88"/>
      <c r="G450" s="114"/>
    </row>
    <row r="451">
      <c r="B451" s="87"/>
      <c r="C451" s="88"/>
      <c r="D451" s="88"/>
      <c r="E451" s="88"/>
      <c r="F451" s="88"/>
      <c r="G451" s="114"/>
    </row>
    <row r="452">
      <c r="B452" s="87"/>
      <c r="C452" s="88"/>
      <c r="D452" s="88"/>
      <c r="E452" s="88"/>
      <c r="F452" s="88"/>
      <c r="G452" s="114"/>
    </row>
    <row r="453">
      <c r="B453" s="87"/>
      <c r="C453" s="88"/>
      <c r="D453" s="88"/>
      <c r="E453" s="88"/>
      <c r="F453" s="88"/>
      <c r="G453" s="114"/>
    </row>
    <row r="454">
      <c r="B454" s="87"/>
      <c r="C454" s="88"/>
      <c r="D454" s="88"/>
      <c r="E454" s="88"/>
      <c r="F454" s="88"/>
      <c r="G454" s="114"/>
    </row>
    <row r="455">
      <c r="B455" s="87"/>
      <c r="C455" s="88"/>
      <c r="D455" s="88"/>
      <c r="E455" s="88"/>
      <c r="F455" s="88"/>
      <c r="G455" s="114"/>
    </row>
    <row r="456">
      <c r="B456" s="87"/>
      <c r="C456" s="88"/>
      <c r="D456" s="88"/>
      <c r="E456" s="88"/>
      <c r="F456" s="88"/>
      <c r="G456" s="114"/>
    </row>
    <row r="457">
      <c r="B457" s="87"/>
      <c r="C457" s="88"/>
      <c r="D457" s="88"/>
      <c r="E457" s="88"/>
      <c r="F457" s="88"/>
      <c r="G457" s="114"/>
    </row>
    <row r="458">
      <c r="B458" s="87"/>
      <c r="C458" s="88"/>
      <c r="D458" s="88"/>
      <c r="E458" s="88"/>
      <c r="F458" s="88"/>
      <c r="G458" s="114"/>
    </row>
    <row r="459">
      <c r="B459" s="87"/>
      <c r="C459" s="88"/>
      <c r="D459" s="88"/>
      <c r="E459" s="88"/>
      <c r="F459" s="88"/>
      <c r="G459" s="114"/>
    </row>
    <row r="460">
      <c r="B460" s="87"/>
      <c r="C460" s="88"/>
      <c r="D460" s="88"/>
      <c r="E460" s="88"/>
      <c r="F460" s="88"/>
      <c r="G460" s="114"/>
    </row>
    <row r="461">
      <c r="B461" s="87"/>
      <c r="C461" s="88"/>
      <c r="D461" s="88"/>
      <c r="E461" s="88"/>
      <c r="F461" s="88"/>
      <c r="G461" s="114"/>
    </row>
    <row r="462">
      <c r="B462" s="87"/>
      <c r="C462" s="88"/>
      <c r="D462" s="88"/>
      <c r="E462" s="88"/>
      <c r="F462" s="88"/>
      <c r="G462" s="114"/>
    </row>
    <row r="463">
      <c r="B463" s="87"/>
      <c r="C463" s="88"/>
      <c r="D463" s="88"/>
      <c r="E463" s="88"/>
      <c r="F463" s="88"/>
      <c r="G463" s="114"/>
    </row>
    <row r="464">
      <c r="B464" s="87"/>
      <c r="C464" s="88"/>
      <c r="D464" s="88"/>
      <c r="E464" s="88"/>
      <c r="F464" s="88"/>
      <c r="G464" s="114"/>
    </row>
    <row r="465">
      <c r="B465" s="87"/>
      <c r="C465" s="88"/>
      <c r="D465" s="88"/>
      <c r="E465" s="88"/>
      <c r="F465" s="88"/>
      <c r="G465" s="114"/>
    </row>
    <row r="466">
      <c r="B466" s="87"/>
      <c r="C466" s="88"/>
      <c r="D466" s="88"/>
      <c r="E466" s="88"/>
      <c r="F466" s="88"/>
      <c r="G466" s="114"/>
    </row>
    <row r="467">
      <c r="B467" s="87"/>
      <c r="C467" s="88"/>
      <c r="D467" s="88"/>
      <c r="E467" s="88"/>
      <c r="F467" s="88"/>
      <c r="G467" s="114"/>
    </row>
    <row r="468">
      <c r="B468" s="87"/>
      <c r="C468" s="88"/>
      <c r="D468" s="88"/>
      <c r="E468" s="88"/>
      <c r="F468" s="88"/>
      <c r="G468" s="114"/>
    </row>
    <row r="469">
      <c r="B469" s="87"/>
      <c r="C469" s="88"/>
      <c r="D469" s="88"/>
      <c r="E469" s="88"/>
      <c r="F469" s="88"/>
      <c r="G469" s="114"/>
    </row>
    <row r="470">
      <c r="B470" s="87"/>
      <c r="C470" s="88"/>
      <c r="D470" s="88"/>
      <c r="E470" s="88"/>
      <c r="F470" s="88"/>
      <c r="G470" s="114"/>
    </row>
    <row r="471">
      <c r="B471" s="87"/>
      <c r="C471" s="88"/>
      <c r="D471" s="88"/>
      <c r="E471" s="88"/>
      <c r="F471" s="88"/>
      <c r="G471" s="114"/>
    </row>
    <row r="472">
      <c r="B472" s="87"/>
      <c r="C472" s="88"/>
      <c r="D472" s="88"/>
      <c r="E472" s="88"/>
      <c r="F472" s="88"/>
      <c r="G472" s="114"/>
    </row>
    <row r="473">
      <c r="B473" s="87"/>
      <c r="C473" s="88"/>
      <c r="D473" s="88"/>
      <c r="E473" s="88"/>
      <c r="F473" s="88"/>
      <c r="G473" s="114"/>
    </row>
    <row r="474">
      <c r="B474" s="87"/>
      <c r="C474" s="88"/>
      <c r="D474" s="88"/>
      <c r="E474" s="88"/>
      <c r="F474" s="88"/>
      <c r="G474" s="114"/>
    </row>
    <row r="475">
      <c r="B475" s="87"/>
      <c r="C475" s="88"/>
      <c r="D475" s="88"/>
      <c r="E475" s="88"/>
      <c r="F475" s="88"/>
      <c r="G475" s="114"/>
    </row>
    <row r="476">
      <c r="B476" s="87"/>
      <c r="C476" s="88"/>
      <c r="D476" s="88"/>
      <c r="E476" s="88"/>
      <c r="F476" s="88"/>
      <c r="G476" s="114"/>
    </row>
    <row r="477">
      <c r="B477" s="87"/>
      <c r="C477" s="88"/>
      <c r="D477" s="88"/>
      <c r="E477" s="88"/>
      <c r="F477" s="88"/>
      <c r="G477" s="114"/>
    </row>
    <row r="478">
      <c r="B478" s="87"/>
      <c r="C478" s="88"/>
      <c r="D478" s="88"/>
      <c r="E478" s="88"/>
      <c r="F478" s="88"/>
      <c r="G478" s="114"/>
    </row>
    <row r="479">
      <c r="B479" s="87"/>
      <c r="C479" s="88"/>
      <c r="D479" s="88"/>
      <c r="E479" s="88"/>
      <c r="F479" s="88"/>
      <c r="G479" s="114"/>
    </row>
    <row r="480">
      <c r="B480" s="87"/>
      <c r="C480" s="88"/>
      <c r="D480" s="88"/>
      <c r="E480" s="88"/>
      <c r="F480" s="88"/>
      <c r="G480" s="114"/>
    </row>
    <row r="481">
      <c r="B481" s="87"/>
      <c r="C481" s="88"/>
      <c r="D481" s="88"/>
      <c r="E481" s="88"/>
      <c r="F481" s="88"/>
      <c r="G481" s="114"/>
    </row>
    <row r="482">
      <c r="B482" s="87"/>
      <c r="C482" s="88"/>
      <c r="D482" s="88"/>
      <c r="E482" s="88"/>
      <c r="F482" s="88"/>
      <c r="G482" s="114"/>
    </row>
    <row r="483">
      <c r="B483" s="87"/>
      <c r="C483" s="88"/>
      <c r="D483" s="88"/>
      <c r="E483" s="88"/>
      <c r="F483" s="88"/>
      <c r="G483" s="114"/>
    </row>
    <row r="484">
      <c r="B484" s="87"/>
      <c r="C484" s="88"/>
      <c r="D484" s="88"/>
      <c r="E484" s="88"/>
      <c r="F484" s="88"/>
      <c r="G484" s="114"/>
    </row>
    <row r="485">
      <c r="B485" s="87"/>
      <c r="C485" s="88"/>
      <c r="D485" s="88"/>
      <c r="E485" s="88"/>
      <c r="F485" s="88"/>
      <c r="G485" s="114"/>
    </row>
    <row r="486">
      <c r="B486" s="87"/>
      <c r="C486" s="88"/>
      <c r="D486" s="88"/>
      <c r="E486" s="88"/>
      <c r="F486" s="88"/>
      <c r="G486" s="114"/>
    </row>
    <row r="487">
      <c r="B487" s="87"/>
      <c r="C487" s="88"/>
      <c r="D487" s="88"/>
      <c r="E487" s="88"/>
      <c r="F487" s="88"/>
      <c r="G487" s="114"/>
    </row>
    <row r="488">
      <c r="B488" s="87"/>
      <c r="C488" s="88"/>
      <c r="D488" s="88"/>
      <c r="E488" s="88"/>
      <c r="F488" s="88"/>
      <c r="G488" s="114"/>
    </row>
    <row r="489">
      <c r="B489" s="87"/>
      <c r="C489" s="88"/>
      <c r="D489" s="88"/>
      <c r="E489" s="88"/>
      <c r="F489" s="88"/>
      <c r="G489" s="114"/>
    </row>
    <row r="490">
      <c r="B490" s="87"/>
      <c r="C490" s="88"/>
      <c r="D490" s="88"/>
      <c r="E490" s="88"/>
      <c r="F490" s="88"/>
      <c r="G490" s="114"/>
    </row>
    <row r="491">
      <c r="B491" s="87"/>
      <c r="C491" s="88"/>
      <c r="D491" s="88"/>
      <c r="E491" s="88"/>
      <c r="F491" s="88"/>
      <c r="G491" s="114"/>
    </row>
    <row r="492">
      <c r="B492" s="87"/>
      <c r="C492" s="88"/>
      <c r="D492" s="88"/>
      <c r="E492" s="88"/>
      <c r="F492" s="88"/>
      <c r="G492" s="114"/>
    </row>
    <row r="493">
      <c r="B493" s="87"/>
      <c r="C493" s="88"/>
      <c r="D493" s="88"/>
      <c r="E493" s="88"/>
      <c r="F493" s="88"/>
      <c r="G493" s="114"/>
    </row>
    <row r="494">
      <c r="B494" s="87"/>
      <c r="C494" s="88"/>
      <c r="D494" s="88"/>
      <c r="E494" s="88"/>
      <c r="F494" s="88"/>
      <c r="G494" s="114"/>
    </row>
    <row r="495">
      <c r="B495" s="87"/>
      <c r="C495" s="88"/>
      <c r="D495" s="88"/>
      <c r="E495" s="88"/>
      <c r="F495" s="88"/>
      <c r="G495" s="114"/>
    </row>
    <row r="496">
      <c r="B496" s="87"/>
      <c r="C496" s="88"/>
      <c r="D496" s="88"/>
      <c r="E496" s="88"/>
      <c r="F496" s="88"/>
      <c r="G496" s="114"/>
    </row>
    <row r="497">
      <c r="B497" s="87"/>
      <c r="C497" s="88"/>
      <c r="D497" s="88"/>
      <c r="E497" s="88"/>
      <c r="F497" s="88"/>
      <c r="G497" s="114"/>
    </row>
    <row r="498">
      <c r="B498" s="87"/>
      <c r="C498" s="88"/>
      <c r="D498" s="88"/>
      <c r="E498" s="88"/>
      <c r="F498" s="88"/>
      <c r="G498" s="114"/>
    </row>
    <row r="499">
      <c r="B499" s="87"/>
      <c r="C499" s="88"/>
      <c r="D499" s="88"/>
      <c r="E499" s="88"/>
      <c r="F499" s="88"/>
      <c r="G499" s="114"/>
    </row>
    <row r="500">
      <c r="B500" s="87"/>
      <c r="C500" s="88"/>
      <c r="D500" s="88"/>
      <c r="E500" s="88"/>
      <c r="F500" s="88"/>
      <c r="G500" s="114"/>
    </row>
    <row r="501">
      <c r="B501" s="87"/>
      <c r="C501" s="88"/>
      <c r="D501" s="88"/>
      <c r="E501" s="88"/>
      <c r="F501" s="88"/>
      <c r="G501" s="114"/>
    </row>
    <row r="502">
      <c r="B502" s="87"/>
      <c r="C502" s="88"/>
      <c r="D502" s="88"/>
      <c r="E502" s="88"/>
      <c r="F502" s="88"/>
      <c r="G502" s="114"/>
    </row>
    <row r="503">
      <c r="B503" s="87"/>
      <c r="C503" s="88"/>
      <c r="D503" s="88"/>
      <c r="E503" s="88"/>
      <c r="F503" s="88"/>
      <c r="G503" s="114"/>
    </row>
    <row r="504">
      <c r="B504" s="87"/>
      <c r="C504" s="88"/>
      <c r="D504" s="88"/>
      <c r="E504" s="88"/>
      <c r="F504" s="88"/>
      <c r="G504" s="114"/>
    </row>
    <row r="505">
      <c r="B505" s="87"/>
      <c r="C505" s="88"/>
      <c r="D505" s="88"/>
      <c r="E505" s="88"/>
      <c r="F505" s="88"/>
      <c r="G505" s="114"/>
    </row>
    <row r="506">
      <c r="B506" s="87"/>
      <c r="C506" s="88"/>
      <c r="D506" s="88"/>
      <c r="E506" s="88"/>
      <c r="F506" s="88"/>
      <c r="G506" s="114"/>
    </row>
    <row r="507">
      <c r="B507" s="87"/>
      <c r="C507" s="88"/>
      <c r="D507" s="88"/>
      <c r="E507" s="88"/>
      <c r="F507" s="88"/>
      <c r="G507" s="114"/>
    </row>
    <row r="508">
      <c r="B508" s="87"/>
      <c r="C508" s="88"/>
      <c r="D508" s="88"/>
      <c r="E508" s="88"/>
      <c r="F508" s="88"/>
      <c r="G508" s="114"/>
    </row>
    <row r="509">
      <c r="B509" s="87"/>
      <c r="C509" s="88"/>
      <c r="D509" s="88"/>
      <c r="E509" s="88"/>
      <c r="F509" s="88"/>
      <c r="G509" s="114"/>
    </row>
    <row r="510">
      <c r="B510" s="87"/>
      <c r="C510" s="88"/>
      <c r="D510" s="88"/>
      <c r="E510" s="88"/>
      <c r="F510" s="88"/>
      <c r="G510" s="114"/>
    </row>
    <row r="511">
      <c r="B511" s="87"/>
      <c r="C511" s="88"/>
      <c r="D511" s="88"/>
      <c r="E511" s="88"/>
      <c r="F511" s="88"/>
      <c r="G511" s="114"/>
    </row>
    <row r="512">
      <c r="B512" s="87"/>
      <c r="C512" s="88"/>
      <c r="D512" s="88"/>
      <c r="E512" s="88"/>
      <c r="F512" s="88"/>
      <c r="G512" s="114"/>
    </row>
    <row r="513">
      <c r="B513" s="87"/>
      <c r="C513" s="88"/>
      <c r="D513" s="88"/>
      <c r="E513" s="88"/>
      <c r="F513" s="88"/>
      <c r="G513" s="114"/>
    </row>
    <row r="514">
      <c r="B514" s="87"/>
      <c r="C514" s="88"/>
      <c r="D514" s="88"/>
      <c r="E514" s="88"/>
      <c r="F514" s="88"/>
      <c r="G514" s="114"/>
    </row>
    <row r="515">
      <c r="B515" s="87"/>
      <c r="C515" s="88"/>
      <c r="D515" s="88"/>
      <c r="E515" s="88"/>
      <c r="F515" s="88"/>
      <c r="G515" s="114"/>
    </row>
    <row r="516">
      <c r="B516" s="87"/>
      <c r="C516" s="88"/>
      <c r="D516" s="88"/>
      <c r="E516" s="88"/>
      <c r="F516" s="88"/>
      <c r="G516" s="114"/>
    </row>
    <row r="517">
      <c r="B517" s="87"/>
      <c r="C517" s="88"/>
      <c r="D517" s="88"/>
      <c r="E517" s="88"/>
      <c r="F517" s="88"/>
      <c r="G517" s="114"/>
    </row>
    <row r="518">
      <c r="B518" s="87"/>
      <c r="C518" s="88"/>
      <c r="D518" s="88"/>
      <c r="E518" s="88"/>
      <c r="F518" s="88"/>
      <c r="G518" s="114"/>
    </row>
    <row r="519">
      <c r="B519" s="87"/>
      <c r="C519" s="88"/>
      <c r="D519" s="88"/>
      <c r="E519" s="88"/>
      <c r="F519" s="88"/>
      <c r="G519" s="114"/>
    </row>
    <row r="520">
      <c r="B520" s="87"/>
      <c r="C520" s="88"/>
      <c r="D520" s="88"/>
      <c r="E520" s="88"/>
      <c r="F520" s="88"/>
      <c r="G520" s="114"/>
    </row>
    <row r="521">
      <c r="B521" s="87"/>
      <c r="C521" s="88"/>
      <c r="D521" s="88"/>
      <c r="E521" s="88"/>
      <c r="F521" s="88"/>
      <c r="G521" s="114"/>
    </row>
    <row r="522">
      <c r="B522" s="87"/>
      <c r="C522" s="88"/>
      <c r="D522" s="88"/>
      <c r="E522" s="88"/>
      <c r="F522" s="88"/>
      <c r="G522" s="114"/>
    </row>
    <row r="523">
      <c r="B523" s="87"/>
      <c r="C523" s="88"/>
      <c r="D523" s="88"/>
      <c r="E523" s="88"/>
      <c r="F523" s="88"/>
      <c r="G523" s="114"/>
    </row>
    <row r="524">
      <c r="B524" s="87"/>
      <c r="C524" s="88"/>
      <c r="D524" s="88"/>
      <c r="E524" s="88"/>
      <c r="F524" s="88"/>
      <c r="G524" s="114"/>
    </row>
    <row r="525">
      <c r="B525" s="87"/>
      <c r="C525" s="88"/>
      <c r="D525" s="88"/>
      <c r="E525" s="88"/>
      <c r="F525" s="88"/>
      <c r="G525" s="114"/>
    </row>
    <row r="526">
      <c r="B526" s="87"/>
      <c r="C526" s="88"/>
      <c r="D526" s="88"/>
      <c r="E526" s="88"/>
      <c r="F526" s="88"/>
      <c r="G526" s="114"/>
    </row>
    <row r="527">
      <c r="B527" s="87"/>
      <c r="C527" s="88"/>
      <c r="D527" s="88"/>
      <c r="E527" s="88"/>
      <c r="F527" s="88"/>
      <c r="G527" s="114"/>
    </row>
    <row r="528">
      <c r="B528" s="87"/>
      <c r="C528" s="88"/>
      <c r="D528" s="88"/>
      <c r="E528" s="88"/>
      <c r="F528" s="88"/>
      <c r="G528" s="114"/>
    </row>
    <row r="529">
      <c r="B529" s="87"/>
      <c r="C529" s="88"/>
      <c r="D529" s="88"/>
      <c r="E529" s="88"/>
      <c r="F529" s="88"/>
      <c r="G529" s="114"/>
    </row>
    <row r="530">
      <c r="B530" s="87"/>
      <c r="C530" s="88"/>
      <c r="D530" s="88"/>
      <c r="E530" s="88"/>
      <c r="F530" s="88"/>
      <c r="G530" s="114"/>
    </row>
    <row r="531">
      <c r="B531" s="87"/>
      <c r="C531" s="88"/>
      <c r="D531" s="88"/>
      <c r="E531" s="88"/>
      <c r="F531" s="88"/>
      <c r="G531" s="114"/>
    </row>
    <row r="532">
      <c r="B532" s="87"/>
      <c r="C532" s="88"/>
      <c r="D532" s="88"/>
      <c r="E532" s="88"/>
      <c r="F532" s="88"/>
      <c r="G532" s="114"/>
    </row>
    <row r="533">
      <c r="B533" s="87"/>
      <c r="C533" s="88"/>
      <c r="D533" s="88"/>
      <c r="E533" s="88"/>
      <c r="F533" s="88"/>
      <c r="G533" s="114"/>
    </row>
    <row r="534">
      <c r="B534" s="87"/>
      <c r="C534" s="88"/>
      <c r="D534" s="88"/>
      <c r="E534" s="88"/>
      <c r="F534" s="88"/>
      <c r="G534" s="114"/>
    </row>
    <row r="535">
      <c r="B535" s="87"/>
      <c r="C535" s="88"/>
      <c r="D535" s="88"/>
      <c r="E535" s="88"/>
      <c r="F535" s="88"/>
      <c r="G535" s="114"/>
    </row>
    <row r="536">
      <c r="B536" s="87"/>
      <c r="C536" s="88"/>
      <c r="D536" s="88"/>
      <c r="E536" s="88"/>
      <c r="F536" s="88"/>
      <c r="G536" s="114"/>
    </row>
    <row r="537">
      <c r="B537" s="87"/>
      <c r="C537" s="88"/>
      <c r="D537" s="88"/>
      <c r="E537" s="88"/>
      <c r="F537" s="88"/>
      <c r="G537" s="114"/>
    </row>
    <row r="538">
      <c r="B538" s="87"/>
      <c r="C538" s="88"/>
      <c r="D538" s="88"/>
      <c r="E538" s="88"/>
      <c r="F538" s="88"/>
      <c r="G538" s="114"/>
    </row>
    <row r="539">
      <c r="B539" s="87"/>
      <c r="C539" s="88"/>
      <c r="D539" s="88"/>
      <c r="E539" s="88"/>
      <c r="F539" s="88"/>
      <c r="G539" s="114"/>
    </row>
    <row r="540">
      <c r="B540" s="87"/>
      <c r="C540" s="88"/>
      <c r="D540" s="88"/>
      <c r="E540" s="88"/>
      <c r="F540" s="88"/>
      <c r="G540" s="114"/>
    </row>
    <row r="541">
      <c r="B541" s="87"/>
      <c r="C541" s="88"/>
      <c r="D541" s="88"/>
      <c r="E541" s="88"/>
      <c r="F541" s="88"/>
      <c r="G541" s="114"/>
    </row>
    <row r="542">
      <c r="B542" s="87"/>
      <c r="C542" s="88"/>
      <c r="D542" s="88"/>
      <c r="E542" s="88"/>
      <c r="F542" s="88"/>
      <c r="G542" s="114"/>
    </row>
    <row r="543">
      <c r="B543" s="87"/>
      <c r="C543" s="88"/>
      <c r="D543" s="88"/>
      <c r="E543" s="88"/>
      <c r="F543" s="88"/>
      <c r="G543" s="114"/>
    </row>
    <row r="544">
      <c r="B544" s="87"/>
      <c r="C544" s="88"/>
      <c r="D544" s="88"/>
      <c r="E544" s="88"/>
      <c r="F544" s="88"/>
      <c r="G544" s="114"/>
    </row>
    <row r="545">
      <c r="B545" s="87"/>
      <c r="C545" s="88"/>
      <c r="D545" s="88"/>
      <c r="E545" s="88"/>
      <c r="F545" s="88"/>
      <c r="G545" s="114"/>
    </row>
    <row r="546">
      <c r="B546" s="87"/>
      <c r="C546" s="88"/>
      <c r="D546" s="88"/>
      <c r="E546" s="88"/>
      <c r="F546" s="88"/>
      <c r="G546" s="114"/>
    </row>
    <row r="547">
      <c r="B547" s="87"/>
      <c r="C547" s="88"/>
      <c r="D547" s="88"/>
      <c r="E547" s="88"/>
      <c r="F547" s="88"/>
      <c r="G547" s="114"/>
    </row>
    <row r="548">
      <c r="B548" s="87"/>
      <c r="C548" s="88"/>
      <c r="D548" s="88"/>
      <c r="E548" s="88"/>
      <c r="F548" s="88"/>
      <c r="G548" s="114"/>
    </row>
    <row r="549">
      <c r="B549" s="87"/>
      <c r="C549" s="88"/>
      <c r="D549" s="88"/>
      <c r="E549" s="88"/>
      <c r="F549" s="88"/>
      <c r="G549" s="114"/>
    </row>
    <row r="550">
      <c r="B550" s="87"/>
      <c r="C550" s="88"/>
      <c r="D550" s="88"/>
      <c r="E550" s="88"/>
      <c r="F550" s="88"/>
      <c r="G550" s="114"/>
    </row>
    <row r="551">
      <c r="B551" s="87"/>
      <c r="C551" s="88"/>
      <c r="D551" s="88"/>
      <c r="E551" s="88"/>
      <c r="F551" s="88"/>
      <c r="G551" s="114"/>
    </row>
    <row r="552">
      <c r="B552" s="87"/>
      <c r="C552" s="88"/>
      <c r="D552" s="88"/>
      <c r="E552" s="88"/>
      <c r="F552" s="88"/>
      <c r="G552" s="114"/>
    </row>
    <row r="553">
      <c r="B553" s="87"/>
      <c r="C553" s="88"/>
      <c r="D553" s="88"/>
      <c r="E553" s="88"/>
      <c r="F553" s="88"/>
      <c r="G553" s="114"/>
    </row>
    <row r="554">
      <c r="B554" s="87"/>
      <c r="C554" s="88"/>
      <c r="D554" s="88"/>
      <c r="E554" s="88"/>
      <c r="F554" s="88"/>
      <c r="G554" s="114"/>
    </row>
    <row r="555">
      <c r="B555" s="87"/>
      <c r="C555" s="88"/>
      <c r="D555" s="88"/>
      <c r="E555" s="88"/>
      <c r="F555" s="88"/>
      <c r="G555" s="114"/>
    </row>
    <row r="556">
      <c r="B556" s="87"/>
      <c r="C556" s="88"/>
      <c r="D556" s="88"/>
      <c r="E556" s="88"/>
      <c r="F556" s="88"/>
      <c r="G556" s="114"/>
    </row>
    <row r="557">
      <c r="B557" s="87"/>
      <c r="C557" s="88"/>
      <c r="D557" s="88"/>
      <c r="E557" s="88"/>
      <c r="F557" s="88"/>
      <c r="G557" s="114"/>
    </row>
    <row r="558">
      <c r="B558" s="87"/>
      <c r="C558" s="88"/>
      <c r="D558" s="88"/>
      <c r="E558" s="88"/>
      <c r="F558" s="88"/>
      <c r="G558" s="114"/>
    </row>
    <row r="559">
      <c r="B559" s="87"/>
      <c r="C559" s="88"/>
      <c r="D559" s="88"/>
      <c r="E559" s="88"/>
      <c r="F559" s="88"/>
      <c r="G559" s="114"/>
    </row>
    <row r="560">
      <c r="B560" s="87"/>
      <c r="C560" s="88"/>
      <c r="D560" s="88"/>
      <c r="E560" s="88"/>
      <c r="F560" s="88"/>
      <c r="G560" s="114"/>
    </row>
    <row r="561">
      <c r="B561" s="87"/>
      <c r="C561" s="88"/>
      <c r="D561" s="88"/>
      <c r="E561" s="88"/>
      <c r="F561" s="88"/>
      <c r="G561" s="114"/>
    </row>
    <row r="562">
      <c r="B562" s="87"/>
      <c r="C562" s="88"/>
      <c r="D562" s="88"/>
      <c r="E562" s="88"/>
      <c r="F562" s="88"/>
      <c r="G562" s="114"/>
    </row>
    <row r="563">
      <c r="B563" s="87"/>
      <c r="C563" s="88"/>
      <c r="D563" s="88"/>
      <c r="E563" s="88"/>
      <c r="F563" s="88"/>
      <c r="G563" s="114"/>
    </row>
    <row r="564">
      <c r="B564" s="87"/>
      <c r="C564" s="88"/>
      <c r="D564" s="88"/>
      <c r="E564" s="88"/>
      <c r="F564" s="88"/>
      <c r="G564" s="114"/>
    </row>
    <row r="565">
      <c r="B565" s="87"/>
      <c r="C565" s="88"/>
      <c r="D565" s="88"/>
      <c r="E565" s="88"/>
      <c r="F565" s="88"/>
      <c r="G565" s="114"/>
    </row>
    <row r="566">
      <c r="B566" s="87"/>
      <c r="C566" s="88"/>
      <c r="D566" s="88"/>
      <c r="E566" s="88"/>
      <c r="F566" s="88"/>
      <c r="G566" s="114"/>
    </row>
    <row r="567">
      <c r="B567" s="87"/>
      <c r="C567" s="88"/>
      <c r="D567" s="88"/>
      <c r="E567" s="88"/>
      <c r="F567" s="88"/>
      <c r="G567" s="114"/>
    </row>
    <row r="568">
      <c r="B568" s="87"/>
      <c r="C568" s="88"/>
      <c r="D568" s="88"/>
      <c r="E568" s="88"/>
      <c r="F568" s="88"/>
      <c r="G568" s="114"/>
    </row>
    <row r="569">
      <c r="B569" s="87"/>
      <c r="C569" s="88"/>
      <c r="D569" s="88"/>
      <c r="E569" s="88"/>
      <c r="F569" s="88"/>
      <c r="G569" s="114"/>
    </row>
    <row r="570">
      <c r="B570" s="87"/>
      <c r="C570" s="88"/>
      <c r="D570" s="88"/>
      <c r="E570" s="88"/>
      <c r="F570" s="88"/>
      <c r="G570" s="114"/>
    </row>
    <row r="571">
      <c r="B571" s="87"/>
      <c r="C571" s="88"/>
      <c r="D571" s="88"/>
      <c r="E571" s="88"/>
      <c r="F571" s="88"/>
      <c r="G571" s="114"/>
    </row>
    <row r="572">
      <c r="B572" s="87"/>
      <c r="C572" s="88"/>
      <c r="D572" s="88"/>
      <c r="E572" s="88"/>
      <c r="F572" s="88"/>
      <c r="G572" s="114"/>
    </row>
    <row r="573">
      <c r="B573" s="87"/>
      <c r="C573" s="88"/>
      <c r="D573" s="88"/>
      <c r="E573" s="88"/>
      <c r="F573" s="88"/>
      <c r="G573" s="114"/>
    </row>
    <row r="574">
      <c r="B574" s="87"/>
      <c r="C574" s="88"/>
      <c r="D574" s="88"/>
      <c r="E574" s="88"/>
      <c r="F574" s="88"/>
      <c r="G574" s="114"/>
    </row>
    <row r="575">
      <c r="B575" s="87"/>
      <c r="C575" s="88"/>
      <c r="D575" s="88"/>
      <c r="E575" s="88"/>
      <c r="F575" s="88"/>
      <c r="G575" s="114"/>
    </row>
    <row r="576">
      <c r="B576" s="87"/>
      <c r="C576" s="88"/>
      <c r="D576" s="88"/>
      <c r="E576" s="88"/>
      <c r="F576" s="88"/>
      <c r="G576" s="114"/>
    </row>
    <row r="577">
      <c r="B577" s="87"/>
      <c r="C577" s="88"/>
      <c r="D577" s="88"/>
      <c r="E577" s="88"/>
      <c r="F577" s="88"/>
      <c r="G577" s="114"/>
    </row>
    <row r="578">
      <c r="B578" s="87"/>
      <c r="C578" s="88"/>
      <c r="D578" s="88"/>
      <c r="E578" s="88"/>
      <c r="F578" s="88"/>
      <c r="G578" s="114"/>
    </row>
    <row r="579">
      <c r="B579" s="87"/>
      <c r="C579" s="88"/>
      <c r="D579" s="88"/>
      <c r="E579" s="88"/>
      <c r="F579" s="88"/>
      <c r="G579" s="114"/>
    </row>
    <row r="580">
      <c r="B580" s="87"/>
      <c r="C580" s="88"/>
      <c r="D580" s="88"/>
      <c r="E580" s="88"/>
      <c r="F580" s="88"/>
      <c r="G580" s="114"/>
    </row>
    <row r="581">
      <c r="B581" s="87"/>
      <c r="C581" s="88"/>
      <c r="D581" s="88"/>
      <c r="E581" s="88"/>
      <c r="F581" s="88"/>
      <c r="G581" s="114"/>
    </row>
    <row r="582">
      <c r="B582" s="87"/>
      <c r="C582" s="88"/>
      <c r="D582" s="88"/>
      <c r="E582" s="88"/>
      <c r="F582" s="88"/>
      <c r="G582" s="114"/>
    </row>
    <row r="583">
      <c r="B583" s="87"/>
      <c r="C583" s="88"/>
      <c r="D583" s="88"/>
      <c r="E583" s="88"/>
      <c r="F583" s="88"/>
      <c r="G583" s="114"/>
    </row>
    <row r="584">
      <c r="B584" s="87"/>
      <c r="C584" s="88"/>
      <c r="D584" s="88"/>
      <c r="E584" s="88"/>
      <c r="F584" s="88"/>
      <c r="G584" s="114"/>
    </row>
    <row r="585">
      <c r="B585" s="87"/>
      <c r="C585" s="88"/>
      <c r="D585" s="88"/>
      <c r="E585" s="88"/>
      <c r="F585" s="88"/>
      <c r="G585" s="114"/>
    </row>
    <row r="586">
      <c r="B586" s="87"/>
      <c r="C586" s="88"/>
      <c r="D586" s="88"/>
      <c r="E586" s="88"/>
      <c r="F586" s="88"/>
      <c r="G586" s="114"/>
    </row>
    <row r="587">
      <c r="B587" s="87"/>
      <c r="C587" s="88"/>
      <c r="D587" s="88"/>
      <c r="E587" s="88"/>
      <c r="F587" s="88"/>
      <c r="G587" s="114"/>
    </row>
    <row r="588">
      <c r="B588" s="87"/>
      <c r="C588" s="88"/>
      <c r="D588" s="88"/>
      <c r="E588" s="88"/>
      <c r="F588" s="88"/>
      <c r="G588" s="114"/>
    </row>
    <row r="589">
      <c r="B589" s="87"/>
      <c r="C589" s="88"/>
      <c r="D589" s="88"/>
      <c r="E589" s="88"/>
      <c r="F589" s="88"/>
      <c r="G589" s="114"/>
    </row>
    <row r="590">
      <c r="B590" s="87"/>
      <c r="C590" s="88"/>
      <c r="D590" s="88"/>
      <c r="E590" s="88"/>
      <c r="F590" s="88"/>
      <c r="G590" s="114"/>
    </row>
    <row r="591">
      <c r="B591" s="87"/>
      <c r="C591" s="88"/>
      <c r="D591" s="88"/>
      <c r="E591" s="88"/>
      <c r="F591" s="88"/>
      <c r="G591" s="114"/>
    </row>
    <row r="592">
      <c r="B592" s="87"/>
      <c r="C592" s="88"/>
      <c r="D592" s="88"/>
      <c r="E592" s="88"/>
      <c r="F592" s="88"/>
      <c r="G592" s="114"/>
    </row>
    <row r="593">
      <c r="B593" s="87"/>
      <c r="C593" s="88"/>
      <c r="D593" s="88"/>
      <c r="E593" s="88"/>
      <c r="F593" s="88"/>
      <c r="G593" s="114"/>
    </row>
    <row r="594">
      <c r="B594" s="87"/>
      <c r="C594" s="88"/>
      <c r="D594" s="88"/>
      <c r="E594" s="88"/>
      <c r="F594" s="88"/>
      <c r="G594" s="114"/>
    </row>
    <row r="595">
      <c r="B595" s="87"/>
      <c r="C595" s="88"/>
      <c r="D595" s="88"/>
      <c r="E595" s="88"/>
      <c r="F595" s="88"/>
      <c r="G595" s="114"/>
    </row>
    <row r="596">
      <c r="B596" s="87"/>
      <c r="C596" s="88"/>
      <c r="D596" s="88"/>
      <c r="E596" s="88"/>
      <c r="F596" s="88"/>
      <c r="G596" s="114"/>
    </row>
    <row r="597">
      <c r="B597" s="87"/>
      <c r="C597" s="88"/>
      <c r="D597" s="88"/>
      <c r="E597" s="88"/>
      <c r="F597" s="88"/>
      <c r="G597" s="114"/>
    </row>
    <row r="598">
      <c r="B598" s="87"/>
      <c r="C598" s="88"/>
      <c r="D598" s="88"/>
      <c r="E598" s="88"/>
      <c r="F598" s="88"/>
      <c r="G598" s="114"/>
    </row>
    <row r="599">
      <c r="B599" s="87"/>
      <c r="C599" s="88"/>
      <c r="D599" s="88"/>
      <c r="E599" s="88"/>
      <c r="F599" s="88"/>
      <c r="G599" s="114"/>
    </row>
    <row r="600">
      <c r="B600" s="87"/>
      <c r="C600" s="88"/>
      <c r="D600" s="88"/>
      <c r="E600" s="88"/>
      <c r="F600" s="88"/>
      <c r="G600" s="114"/>
    </row>
    <row r="601">
      <c r="B601" s="87"/>
      <c r="C601" s="88"/>
      <c r="D601" s="88"/>
      <c r="E601" s="88"/>
      <c r="F601" s="88"/>
      <c r="G601" s="114"/>
    </row>
    <row r="602">
      <c r="B602" s="87"/>
      <c r="C602" s="88"/>
      <c r="D602" s="88"/>
      <c r="E602" s="88"/>
      <c r="F602" s="88"/>
      <c r="G602" s="114"/>
    </row>
    <row r="603">
      <c r="B603" s="87"/>
      <c r="C603" s="88"/>
      <c r="D603" s="88"/>
      <c r="E603" s="88"/>
      <c r="F603" s="88"/>
      <c r="G603" s="114"/>
    </row>
    <row r="604">
      <c r="B604" s="87"/>
      <c r="C604" s="88"/>
      <c r="D604" s="88"/>
      <c r="E604" s="88"/>
      <c r="F604" s="88"/>
      <c r="G604" s="114"/>
    </row>
    <row r="605">
      <c r="B605" s="87"/>
      <c r="C605" s="88"/>
      <c r="D605" s="88"/>
      <c r="E605" s="88"/>
      <c r="F605" s="88"/>
      <c r="G605" s="114"/>
    </row>
    <row r="606">
      <c r="B606" s="87"/>
      <c r="C606" s="88"/>
      <c r="D606" s="88"/>
      <c r="E606" s="88"/>
      <c r="F606" s="88"/>
      <c r="G606" s="114"/>
    </row>
    <row r="607">
      <c r="B607" s="87"/>
      <c r="C607" s="88"/>
      <c r="D607" s="88"/>
      <c r="E607" s="88"/>
      <c r="F607" s="88"/>
      <c r="G607" s="114"/>
    </row>
    <row r="608">
      <c r="B608" s="87"/>
      <c r="C608" s="88"/>
      <c r="D608" s="88"/>
      <c r="E608" s="88"/>
      <c r="F608" s="88"/>
      <c r="G608" s="114"/>
    </row>
    <row r="609">
      <c r="B609" s="87"/>
      <c r="C609" s="88"/>
      <c r="D609" s="88"/>
      <c r="E609" s="88"/>
      <c r="F609" s="88"/>
      <c r="G609" s="114"/>
    </row>
    <row r="610">
      <c r="B610" s="87"/>
      <c r="C610" s="88"/>
      <c r="D610" s="88"/>
      <c r="E610" s="88"/>
      <c r="F610" s="88"/>
      <c r="G610" s="114"/>
    </row>
    <row r="611">
      <c r="B611" s="87"/>
      <c r="C611" s="88"/>
      <c r="D611" s="88"/>
      <c r="E611" s="88"/>
      <c r="F611" s="88"/>
      <c r="G611" s="114"/>
    </row>
    <row r="612">
      <c r="B612" s="87"/>
      <c r="C612" s="88"/>
      <c r="D612" s="88"/>
      <c r="E612" s="88"/>
      <c r="F612" s="88"/>
      <c r="G612" s="114"/>
    </row>
    <row r="613">
      <c r="B613" s="87"/>
      <c r="C613" s="88"/>
      <c r="D613" s="88"/>
      <c r="E613" s="88"/>
      <c r="F613" s="88"/>
      <c r="G613" s="114"/>
    </row>
    <row r="614">
      <c r="B614" s="87"/>
      <c r="C614" s="88"/>
      <c r="D614" s="88"/>
      <c r="E614" s="88"/>
      <c r="F614" s="88"/>
      <c r="G614" s="114"/>
    </row>
    <row r="615">
      <c r="B615" s="87"/>
      <c r="C615" s="88"/>
      <c r="D615" s="88"/>
      <c r="E615" s="88"/>
      <c r="F615" s="88"/>
      <c r="G615" s="114"/>
    </row>
    <row r="616">
      <c r="B616" s="87"/>
      <c r="C616" s="88"/>
      <c r="D616" s="88"/>
      <c r="E616" s="88"/>
      <c r="F616" s="88"/>
      <c r="G616" s="114"/>
    </row>
    <row r="617">
      <c r="B617" s="87"/>
      <c r="C617" s="88"/>
      <c r="D617" s="88"/>
      <c r="E617" s="88"/>
      <c r="F617" s="88"/>
      <c r="G617" s="114"/>
    </row>
    <row r="618">
      <c r="B618" s="87"/>
      <c r="C618" s="88"/>
      <c r="D618" s="88"/>
      <c r="E618" s="88"/>
      <c r="F618" s="88"/>
      <c r="G618" s="114"/>
    </row>
    <row r="619">
      <c r="B619" s="87"/>
      <c r="C619" s="88"/>
      <c r="D619" s="88"/>
      <c r="E619" s="88"/>
      <c r="F619" s="88"/>
      <c r="G619" s="114"/>
    </row>
    <row r="620">
      <c r="B620" s="87"/>
      <c r="C620" s="88"/>
      <c r="D620" s="88"/>
      <c r="E620" s="88"/>
      <c r="F620" s="88"/>
      <c r="G620" s="114"/>
    </row>
    <row r="621">
      <c r="B621" s="87"/>
      <c r="C621" s="88"/>
      <c r="D621" s="88"/>
      <c r="E621" s="88"/>
      <c r="F621" s="88"/>
      <c r="G621" s="114"/>
    </row>
    <row r="622">
      <c r="B622" s="87"/>
      <c r="C622" s="88"/>
      <c r="D622" s="88"/>
      <c r="E622" s="88"/>
      <c r="F622" s="88"/>
      <c r="G622" s="114"/>
    </row>
    <row r="623">
      <c r="B623" s="87"/>
      <c r="C623" s="88"/>
      <c r="D623" s="88"/>
      <c r="E623" s="88"/>
      <c r="F623" s="88"/>
      <c r="G623" s="114"/>
    </row>
    <row r="624">
      <c r="B624" s="87"/>
      <c r="C624" s="88"/>
      <c r="D624" s="88"/>
      <c r="E624" s="88"/>
      <c r="F624" s="88"/>
      <c r="G624" s="114"/>
    </row>
    <row r="625">
      <c r="B625" s="87"/>
      <c r="C625" s="88"/>
      <c r="D625" s="88"/>
      <c r="E625" s="88"/>
      <c r="F625" s="88"/>
      <c r="G625" s="114"/>
    </row>
    <row r="626">
      <c r="B626" s="87"/>
      <c r="C626" s="88"/>
      <c r="D626" s="88"/>
      <c r="E626" s="88"/>
      <c r="F626" s="88"/>
      <c r="G626" s="114"/>
    </row>
    <row r="627">
      <c r="B627" s="87"/>
      <c r="C627" s="88"/>
      <c r="D627" s="88"/>
      <c r="E627" s="88"/>
      <c r="F627" s="88"/>
      <c r="G627" s="114"/>
    </row>
    <row r="628">
      <c r="B628" s="87"/>
      <c r="C628" s="88"/>
      <c r="D628" s="88"/>
      <c r="E628" s="88"/>
      <c r="F628" s="88"/>
      <c r="G628" s="114"/>
    </row>
    <row r="629">
      <c r="B629" s="87"/>
      <c r="C629" s="88"/>
      <c r="D629" s="88"/>
      <c r="E629" s="88"/>
      <c r="F629" s="88"/>
      <c r="G629" s="114"/>
    </row>
    <row r="630">
      <c r="B630" s="87"/>
      <c r="C630" s="88"/>
      <c r="D630" s="88"/>
      <c r="E630" s="88"/>
      <c r="F630" s="88"/>
      <c r="G630" s="114"/>
    </row>
    <row r="631">
      <c r="B631" s="87"/>
      <c r="C631" s="88"/>
      <c r="D631" s="88"/>
      <c r="E631" s="88"/>
      <c r="F631" s="88"/>
      <c r="G631" s="114"/>
    </row>
    <row r="632">
      <c r="B632" s="87"/>
      <c r="C632" s="88"/>
      <c r="D632" s="88"/>
      <c r="E632" s="88"/>
      <c r="F632" s="88"/>
      <c r="G632" s="114"/>
    </row>
    <row r="633">
      <c r="B633" s="87"/>
      <c r="C633" s="88"/>
      <c r="D633" s="88"/>
      <c r="E633" s="88"/>
      <c r="F633" s="88"/>
      <c r="G633" s="114"/>
    </row>
    <row r="634">
      <c r="B634" s="87"/>
      <c r="C634" s="88"/>
      <c r="D634" s="88"/>
      <c r="E634" s="88"/>
      <c r="F634" s="88"/>
      <c r="G634" s="114"/>
    </row>
    <row r="635">
      <c r="B635" s="87"/>
      <c r="C635" s="88"/>
      <c r="D635" s="88"/>
      <c r="E635" s="88"/>
      <c r="F635" s="88"/>
      <c r="G635" s="114"/>
    </row>
    <row r="636">
      <c r="B636" s="87"/>
      <c r="C636" s="88"/>
      <c r="D636" s="88"/>
      <c r="E636" s="88"/>
      <c r="F636" s="88"/>
      <c r="G636" s="114"/>
    </row>
    <row r="637">
      <c r="B637" s="87"/>
      <c r="C637" s="88"/>
      <c r="D637" s="88"/>
      <c r="E637" s="88"/>
      <c r="F637" s="88"/>
      <c r="G637" s="114"/>
    </row>
    <row r="638">
      <c r="B638" s="87"/>
      <c r="C638" s="88"/>
      <c r="D638" s="88"/>
      <c r="E638" s="88"/>
      <c r="F638" s="88"/>
      <c r="G638" s="114"/>
    </row>
    <row r="639">
      <c r="B639" s="87"/>
      <c r="C639" s="88"/>
      <c r="D639" s="88"/>
      <c r="E639" s="88"/>
      <c r="F639" s="88"/>
      <c r="G639" s="114"/>
    </row>
    <row r="640">
      <c r="B640" s="87"/>
      <c r="C640" s="88"/>
      <c r="D640" s="88"/>
      <c r="E640" s="88"/>
      <c r="F640" s="88"/>
      <c r="G640" s="114"/>
    </row>
    <row r="641">
      <c r="B641" s="87"/>
      <c r="C641" s="88"/>
      <c r="D641" s="88"/>
      <c r="E641" s="88"/>
      <c r="F641" s="88"/>
      <c r="G641" s="114"/>
    </row>
    <row r="642">
      <c r="B642" s="87"/>
      <c r="C642" s="88"/>
      <c r="D642" s="88"/>
      <c r="E642" s="88"/>
      <c r="F642" s="88"/>
      <c r="G642" s="114"/>
    </row>
    <row r="643">
      <c r="B643" s="87"/>
      <c r="C643" s="88"/>
      <c r="D643" s="88"/>
      <c r="E643" s="88"/>
      <c r="F643" s="88"/>
      <c r="G643" s="114"/>
    </row>
    <row r="644">
      <c r="B644" s="87"/>
      <c r="C644" s="88"/>
      <c r="D644" s="88"/>
      <c r="E644" s="88"/>
      <c r="F644" s="88"/>
      <c r="G644" s="114"/>
    </row>
    <row r="645">
      <c r="B645" s="87"/>
      <c r="C645" s="88"/>
      <c r="D645" s="88"/>
      <c r="E645" s="88"/>
      <c r="F645" s="88"/>
      <c r="G645" s="114"/>
    </row>
    <row r="646">
      <c r="B646" s="87"/>
      <c r="C646" s="88"/>
      <c r="D646" s="88"/>
      <c r="E646" s="88"/>
      <c r="F646" s="88"/>
      <c r="G646" s="114"/>
    </row>
    <row r="647">
      <c r="B647" s="87"/>
      <c r="C647" s="88"/>
      <c r="D647" s="88"/>
      <c r="E647" s="88"/>
      <c r="F647" s="88"/>
      <c r="G647" s="114"/>
    </row>
    <row r="648">
      <c r="B648" s="87"/>
      <c r="C648" s="88"/>
      <c r="D648" s="88"/>
      <c r="E648" s="88"/>
      <c r="F648" s="88"/>
      <c r="G648" s="114"/>
    </row>
    <row r="649">
      <c r="B649" s="87"/>
      <c r="C649" s="88"/>
      <c r="D649" s="88"/>
      <c r="E649" s="88"/>
      <c r="F649" s="88"/>
      <c r="G649" s="114"/>
    </row>
    <row r="650">
      <c r="B650" s="87"/>
      <c r="C650" s="88"/>
      <c r="D650" s="88"/>
      <c r="E650" s="88"/>
      <c r="F650" s="88"/>
      <c r="G650" s="114"/>
    </row>
    <row r="651">
      <c r="B651" s="87"/>
      <c r="C651" s="88"/>
      <c r="D651" s="88"/>
      <c r="E651" s="88"/>
      <c r="F651" s="88"/>
      <c r="G651" s="114"/>
    </row>
    <row r="652">
      <c r="B652" s="87"/>
      <c r="C652" s="88"/>
      <c r="D652" s="88"/>
      <c r="E652" s="88"/>
      <c r="F652" s="88"/>
      <c r="G652" s="114"/>
    </row>
    <row r="653">
      <c r="B653" s="87"/>
      <c r="C653" s="88"/>
      <c r="D653" s="88"/>
      <c r="E653" s="88"/>
      <c r="F653" s="88"/>
      <c r="G653" s="114"/>
    </row>
    <row r="654">
      <c r="B654" s="87"/>
      <c r="C654" s="88"/>
      <c r="D654" s="88"/>
      <c r="E654" s="88"/>
      <c r="F654" s="88"/>
      <c r="G654" s="114"/>
    </row>
    <row r="655">
      <c r="B655" s="87"/>
      <c r="C655" s="88"/>
      <c r="D655" s="88"/>
      <c r="E655" s="88"/>
      <c r="F655" s="88"/>
      <c r="G655" s="114"/>
    </row>
    <row r="656">
      <c r="B656" s="87"/>
      <c r="C656" s="88"/>
      <c r="D656" s="88"/>
      <c r="E656" s="88"/>
      <c r="F656" s="88"/>
      <c r="G656" s="114"/>
    </row>
    <row r="657">
      <c r="B657" s="87"/>
      <c r="C657" s="88"/>
      <c r="D657" s="88"/>
      <c r="E657" s="88"/>
      <c r="F657" s="88"/>
      <c r="G657" s="114"/>
    </row>
    <row r="658">
      <c r="B658" s="87"/>
      <c r="C658" s="88"/>
      <c r="D658" s="88"/>
      <c r="E658" s="88"/>
      <c r="F658" s="88"/>
      <c r="G658" s="114"/>
    </row>
    <row r="659">
      <c r="B659" s="87"/>
      <c r="C659" s="88"/>
      <c r="D659" s="88"/>
      <c r="E659" s="88"/>
      <c r="F659" s="88"/>
      <c r="G659" s="114"/>
    </row>
    <row r="660">
      <c r="B660" s="87"/>
      <c r="C660" s="88"/>
      <c r="D660" s="88"/>
      <c r="E660" s="88"/>
      <c r="F660" s="88"/>
      <c r="G660" s="114"/>
    </row>
    <row r="661">
      <c r="B661" s="87"/>
      <c r="C661" s="88"/>
      <c r="D661" s="88"/>
      <c r="E661" s="88"/>
      <c r="F661" s="88"/>
      <c r="G661" s="114"/>
    </row>
    <row r="662">
      <c r="B662" s="87"/>
      <c r="C662" s="88"/>
      <c r="D662" s="88"/>
      <c r="E662" s="88"/>
      <c r="F662" s="88"/>
      <c r="G662" s="114"/>
    </row>
    <row r="663">
      <c r="B663" s="87"/>
      <c r="C663" s="88"/>
      <c r="D663" s="88"/>
      <c r="E663" s="88"/>
      <c r="F663" s="88"/>
      <c r="G663" s="114"/>
    </row>
    <row r="664">
      <c r="B664" s="87"/>
      <c r="C664" s="88"/>
      <c r="D664" s="88"/>
      <c r="E664" s="88"/>
      <c r="F664" s="88"/>
      <c r="G664" s="114"/>
    </row>
    <row r="665">
      <c r="B665" s="87"/>
      <c r="C665" s="88"/>
      <c r="D665" s="88"/>
      <c r="E665" s="88"/>
      <c r="F665" s="88"/>
      <c r="G665" s="114"/>
    </row>
    <row r="666">
      <c r="B666" s="87"/>
      <c r="C666" s="88"/>
      <c r="D666" s="88"/>
      <c r="E666" s="88"/>
      <c r="F666" s="88"/>
      <c r="G666" s="114"/>
    </row>
    <row r="667">
      <c r="B667" s="87"/>
      <c r="C667" s="88"/>
      <c r="D667" s="88"/>
      <c r="E667" s="88"/>
      <c r="F667" s="88"/>
      <c r="G667" s="114"/>
    </row>
    <row r="668">
      <c r="B668" s="87"/>
      <c r="C668" s="88"/>
      <c r="D668" s="88"/>
      <c r="E668" s="88"/>
      <c r="F668" s="88"/>
      <c r="G668" s="114"/>
    </row>
    <row r="669">
      <c r="B669" s="87"/>
      <c r="C669" s="88"/>
      <c r="D669" s="88"/>
      <c r="E669" s="88"/>
      <c r="F669" s="88"/>
      <c r="G669" s="114"/>
    </row>
    <row r="670">
      <c r="B670" s="87"/>
      <c r="C670" s="88"/>
      <c r="D670" s="88"/>
      <c r="E670" s="88"/>
      <c r="F670" s="88"/>
      <c r="G670" s="114"/>
    </row>
    <row r="671">
      <c r="B671" s="87"/>
      <c r="C671" s="88"/>
      <c r="D671" s="88"/>
      <c r="E671" s="88"/>
      <c r="F671" s="88"/>
      <c r="G671" s="114"/>
    </row>
    <row r="672">
      <c r="B672" s="87"/>
      <c r="C672" s="88"/>
      <c r="D672" s="88"/>
      <c r="E672" s="88"/>
      <c r="F672" s="88"/>
      <c r="G672" s="114"/>
    </row>
    <row r="673">
      <c r="B673" s="87"/>
      <c r="C673" s="88"/>
      <c r="D673" s="88"/>
      <c r="E673" s="88"/>
      <c r="F673" s="88"/>
      <c r="G673" s="114"/>
    </row>
    <row r="674">
      <c r="B674" s="87"/>
      <c r="C674" s="88"/>
      <c r="D674" s="88"/>
      <c r="E674" s="88"/>
      <c r="F674" s="88"/>
      <c r="G674" s="114"/>
    </row>
    <row r="675">
      <c r="B675" s="87"/>
      <c r="C675" s="88"/>
      <c r="D675" s="88"/>
      <c r="E675" s="88"/>
      <c r="F675" s="88"/>
      <c r="G675" s="114"/>
    </row>
    <row r="676">
      <c r="B676" s="87"/>
      <c r="C676" s="88"/>
      <c r="D676" s="88"/>
      <c r="E676" s="88"/>
      <c r="F676" s="88"/>
      <c r="G676" s="114"/>
    </row>
    <row r="677">
      <c r="B677" s="87"/>
      <c r="C677" s="88"/>
      <c r="D677" s="88"/>
      <c r="E677" s="88"/>
      <c r="F677" s="88"/>
      <c r="G677" s="114"/>
    </row>
    <row r="678">
      <c r="B678" s="87"/>
      <c r="C678" s="88"/>
      <c r="D678" s="88"/>
      <c r="E678" s="88"/>
      <c r="F678" s="88"/>
      <c r="G678" s="114"/>
    </row>
    <row r="679">
      <c r="B679" s="87"/>
      <c r="C679" s="88"/>
      <c r="D679" s="88"/>
      <c r="E679" s="88"/>
      <c r="F679" s="88"/>
      <c r="G679" s="114"/>
    </row>
    <row r="680">
      <c r="B680" s="87"/>
      <c r="C680" s="88"/>
      <c r="D680" s="88"/>
      <c r="E680" s="88"/>
      <c r="F680" s="88"/>
      <c r="G680" s="114"/>
    </row>
    <row r="681">
      <c r="B681" s="87"/>
      <c r="C681" s="88"/>
      <c r="D681" s="88"/>
      <c r="E681" s="88"/>
      <c r="F681" s="88"/>
      <c r="G681" s="114"/>
    </row>
    <row r="682">
      <c r="B682" s="87"/>
      <c r="C682" s="88"/>
      <c r="D682" s="88"/>
      <c r="E682" s="88"/>
      <c r="F682" s="88"/>
      <c r="G682" s="114"/>
    </row>
    <row r="683">
      <c r="B683" s="87"/>
      <c r="C683" s="88"/>
      <c r="D683" s="88"/>
      <c r="E683" s="88"/>
      <c r="F683" s="88"/>
      <c r="G683" s="114"/>
    </row>
    <row r="684">
      <c r="B684" s="87"/>
      <c r="C684" s="88"/>
      <c r="D684" s="88"/>
      <c r="E684" s="88"/>
      <c r="F684" s="88"/>
      <c r="G684" s="114"/>
    </row>
    <row r="685">
      <c r="B685" s="87"/>
      <c r="C685" s="88"/>
      <c r="D685" s="88"/>
      <c r="E685" s="88"/>
      <c r="F685" s="88"/>
      <c r="G685" s="114"/>
    </row>
    <row r="686">
      <c r="B686" s="87"/>
      <c r="C686" s="88"/>
      <c r="D686" s="88"/>
      <c r="E686" s="88"/>
      <c r="F686" s="88"/>
      <c r="G686" s="114"/>
    </row>
    <row r="687">
      <c r="B687" s="87"/>
      <c r="C687" s="88"/>
      <c r="D687" s="88"/>
      <c r="E687" s="88"/>
      <c r="F687" s="88"/>
      <c r="G687" s="114"/>
    </row>
    <row r="688">
      <c r="B688" s="87"/>
      <c r="C688" s="88"/>
      <c r="D688" s="88"/>
      <c r="E688" s="88"/>
      <c r="F688" s="88"/>
      <c r="G688" s="114"/>
    </row>
    <row r="689">
      <c r="B689" s="87"/>
      <c r="C689" s="88"/>
      <c r="D689" s="88"/>
      <c r="E689" s="88"/>
      <c r="F689" s="88"/>
      <c r="G689" s="114"/>
    </row>
    <row r="690">
      <c r="B690" s="87"/>
      <c r="C690" s="88"/>
      <c r="D690" s="88"/>
      <c r="E690" s="88"/>
      <c r="F690" s="88"/>
      <c r="G690" s="114"/>
    </row>
    <row r="691">
      <c r="B691" s="87"/>
      <c r="C691" s="88"/>
      <c r="D691" s="88"/>
      <c r="E691" s="88"/>
      <c r="F691" s="88"/>
      <c r="G691" s="114"/>
    </row>
    <row r="692">
      <c r="B692" s="87"/>
      <c r="C692" s="88"/>
      <c r="D692" s="88"/>
      <c r="E692" s="88"/>
      <c r="F692" s="88"/>
      <c r="G692" s="114"/>
    </row>
    <row r="693">
      <c r="B693" s="87"/>
      <c r="C693" s="88"/>
      <c r="D693" s="88"/>
      <c r="E693" s="88"/>
      <c r="F693" s="88"/>
      <c r="G693" s="114"/>
    </row>
    <row r="694">
      <c r="B694" s="87"/>
      <c r="C694" s="88"/>
      <c r="D694" s="88"/>
      <c r="E694" s="88"/>
      <c r="F694" s="88"/>
      <c r="G694" s="114"/>
    </row>
    <row r="695">
      <c r="B695" s="87"/>
      <c r="C695" s="88"/>
      <c r="D695" s="88"/>
      <c r="E695" s="88"/>
      <c r="F695" s="88"/>
      <c r="G695" s="114"/>
    </row>
    <row r="696">
      <c r="B696" s="87"/>
      <c r="C696" s="88"/>
      <c r="D696" s="88"/>
      <c r="E696" s="88"/>
      <c r="F696" s="88"/>
      <c r="G696" s="114"/>
    </row>
    <row r="697">
      <c r="B697" s="87"/>
      <c r="C697" s="88"/>
      <c r="D697" s="88"/>
      <c r="E697" s="88"/>
      <c r="F697" s="88"/>
      <c r="G697" s="114"/>
    </row>
    <row r="698">
      <c r="B698" s="87"/>
      <c r="C698" s="88"/>
      <c r="D698" s="88"/>
      <c r="E698" s="88"/>
      <c r="F698" s="88"/>
      <c r="G698" s="114"/>
    </row>
    <row r="699">
      <c r="B699" s="87"/>
      <c r="C699" s="88"/>
      <c r="D699" s="88"/>
      <c r="E699" s="88"/>
      <c r="F699" s="88"/>
      <c r="G699" s="114"/>
    </row>
    <row r="700">
      <c r="B700" s="87"/>
      <c r="C700" s="88"/>
      <c r="D700" s="88"/>
      <c r="E700" s="88"/>
      <c r="F700" s="88"/>
      <c r="G700" s="114"/>
    </row>
    <row r="701">
      <c r="B701" s="87"/>
      <c r="C701" s="88"/>
      <c r="D701" s="88"/>
      <c r="E701" s="88"/>
      <c r="F701" s="88"/>
      <c r="G701" s="114"/>
    </row>
    <row r="702">
      <c r="B702" s="87"/>
      <c r="C702" s="88"/>
      <c r="D702" s="88"/>
      <c r="E702" s="88"/>
      <c r="F702" s="88"/>
      <c r="G702" s="114"/>
    </row>
    <row r="703">
      <c r="B703" s="87"/>
      <c r="C703" s="88"/>
      <c r="D703" s="88"/>
      <c r="E703" s="88"/>
      <c r="F703" s="88"/>
      <c r="G703" s="114"/>
    </row>
    <row r="704">
      <c r="B704" s="87"/>
      <c r="C704" s="88"/>
      <c r="D704" s="88"/>
      <c r="E704" s="88"/>
      <c r="F704" s="88"/>
      <c r="G704" s="114"/>
    </row>
    <row r="705">
      <c r="B705" s="87"/>
      <c r="C705" s="88"/>
      <c r="D705" s="88"/>
      <c r="E705" s="88"/>
      <c r="F705" s="88"/>
      <c r="G705" s="114"/>
    </row>
    <row r="706">
      <c r="B706" s="87"/>
      <c r="C706" s="88"/>
      <c r="D706" s="88"/>
      <c r="E706" s="88"/>
      <c r="F706" s="88"/>
      <c r="G706" s="114"/>
    </row>
    <row r="707">
      <c r="B707" s="87"/>
      <c r="C707" s="88"/>
      <c r="D707" s="88"/>
      <c r="E707" s="88"/>
      <c r="F707" s="88"/>
      <c r="G707" s="114"/>
    </row>
    <row r="708">
      <c r="B708" s="87"/>
      <c r="C708" s="88"/>
      <c r="D708" s="88"/>
      <c r="E708" s="88"/>
      <c r="F708" s="88"/>
      <c r="G708" s="114"/>
    </row>
    <row r="709">
      <c r="B709" s="87"/>
      <c r="C709" s="88"/>
      <c r="D709" s="88"/>
      <c r="E709" s="88"/>
      <c r="F709" s="88"/>
      <c r="G709" s="114"/>
    </row>
    <row r="710">
      <c r="B710" s="87"/>
      <c r="C710" s="88"/>
      <c r="D710" s="88"/>
      <c r="E710" s="88"/>
      <c r="F710" s="88"/>
      <c r="G710" s="114"/>
    </row>
    <row r="711">
      <c r="B711" s="87"/>
      <c r="C711" s="88"/>
      <c r="D711" s="88"/>
      <c r="E711" s="88"/>
      <c r="F711" s="88"/>
      <c r="G711" s="114"/>
    </row>
    <row r="712">
      <c r="B712" s="87"/>
      <c r="C712" s="88"/>
      <c r="D712" s="88"/>
      <c r="E712" s="88"/>
      <c r="F712" s="88"/>
      <c r="G712" s="114"/>
    </row>
    <row r="713">
      <c r="B713" s="87"/>
      <c r="C713" s="88"/>
      <c r="D713" s="88"/>
      <c r="E713" s="88"/>
      <c r="F713" s="88"/>
      <c r="G713" s="114"/>
    </row>
    <row r="714">
      <c r="B714" s="87"/>
      <c r="C714" s="88"/>
      <c r="D714" s="88"/>
      <c r="E714" s="88"/>
      <c r="F714" s="88"/>
      <c r="G714" s="114"/>
    </row>
    <row r="715">
      <c r="B715" s="87"/>
      <c r="C715" s="88"/>
      <c r="D715" s="88"/>
      <c r="E715" s="88"/>
      <c r="F715" s="88"/>
      <c r="G715" s="114"/>
    </row>
    <row r="716">
      <c r="B716" s="87"/>
      <c r="C716" s="88"/>
      <c r="D716" s="88"/>
      <c r="E716" s="88"/>
      <c r="F716" s="88"/>
      <c r="G716" s="114"/>
    </row>
    <row r="717">
      <c r="B717" s="87"/>
      <c r="C717" s="88"/>
      <c r="D717" s="88"/>
      <c r="E717" s="88"/>
      <c r="F717" s="88"/>
      <c r="G717" s="114"/>
    </row>
    <row r="718">
      <c r="B718" s="87"/>
      <c r="C718" s="88"/>
      <c r="D718" s="88"/>
      <c r="E718" s="88"/>
      <c r="F718" s="88"/>
      <c r="G718" s="114"/>
    </row>
    <row r="719">
      <c r="B719" s="87"/>
      <c r="C719" s="88"/>
      <c r="D719" s="88"/>
      <c r="E719" s="88"/>
      <c r="F719" s="88"/>
      <c r="G719" s="114"/>
    </row>
    <row r="720">
      <c r="B720" s="87"/>
      <c r="C720" s="88"/>
      <c r="D720" s="88"/>
      <c r="E720" s="88"/>
      <c r="F720" s="88"/>
      <c r="G720" s="114"/>
    </row>
    <row r="721">
      <c r="B721" s="87"/>
      <c r="C721" s="88"/>
      <c r="D721" s="88"/>
      <c r="E721" s="88"/>
      <c r="F721" s="88"/>
      <c r="G721" s="114"/>
    </row>
    <row r="722">
      <c r="B722" s="87"/>
      <c r="C722" s="88"/>
      <c r="D722" s="88"/>
      <c r="E722" s="88"/>
      <c r="F722" s="88"/>
      <c r="G722" s="114"/>
    </row>
    <row r="723">
      <c r="B723" s="87"/>
      <c r="C723" s="88"/>
      <c r="D723" s="88"/>
      <c r="E723" s="88"/>
      <c r="F723" s="88"/>
      <c r="G723" s="114"/>
    </row>
    <row r="724">
      <c r="B724" s="87"/>
      <c r="C724" s="88"/>
      <c r="D724" s="88"/>
      <c r="E724" s="88"/>
      <c r="F724" s="88"/>
      <c r="G724" s="114"/>
    </row>
    <row r="725">
      <c r="B725" s="87"/>
      <c r="C725" s="88"/>
      <c r="D725" s="88"/>
      <c r="E725" s="88"/>
      <c r="F725" s="88"/>
      <c r="G725" s="114"/>
    </row>
    <row r="726">
      <c r="B726" s="87"/>
      <c r="C726" s="88"/>
      <c r="D726" s="88"/>
      <c r="E726" s="88"/>
      <c r="F726" s="88"/>
      <c r="G726" s="114"/>
    </row>
    <row r="727">
      <c r="B727" s="87"/>
      <c r="C727" s="88"/>
      <c r="D727" s="88"/>
      <c r="E727" s="88"/>
      <c r="F727" s="88"/>
      <c r="G727" s="114"/>
    </row>
    <row r="728">
      <c r="B728" s="87"/>
      <c r="C728" s="88"/>
      <c r="D728" s="88"/>
      <c r="E728" s="88"/>
      <c r="F728" s="88"/>
      <c r="G728" s="114"/>
    </row>
    <row r="729">
      <c r="B729" s="87"/>
      <c r="C729" s="88"/>
      <c r="D729" s="88"/>
      <c r="E729" s="88"/>
      <c r="F729" s="88"/>
      <c r="G729" s="114"/>
    </row>
    <row r="730">
      <c r="B730" s="87"/>
      <c r="C730" s="88"/>
      <c r="D730" s="88"/>
      <c r="E730" s="88"/>
      <c r="F730" s="88"/>
      <c r="G730" s="114"/>
    </row>
    <row r="731">
      <c r="B731" s="87"/>
      <c r="C731" s="88"/>
      <c r="D731" s="88"/>
      <c r="E731" s="88"/>
      <c r="F731" s="88"/>
      <c r="G731" s="114"/>
    </row>
    <row r="732">
      <c r="B732" s="87"/>
      <c r="C732" s="88"/>
      <c r="D732" s="88"/>
      <c r="E732" s="88"/>
      <c r="F732" s="88"/>
      <c r="G732" s="114"/>
    </row>
    <row r="733">
      <c r="B733" s="87"/>
      <c r="C733" s="88"/>
      <c r="D733" s="88"/>
      <c r="E733" s="88"/>
      <c r="F733" s="88"/>
      <c r="G733" s="114"/>
    </row>
    <row r="734">
      <c r="B734" s="87"/>
      <c r="C734" s="88"/>
      <c r="D734" s="88"/>
      <c r="E734" s="88"/>
      <c r="F734" s="88"/>
      <c r="G734" s="114"/>
    </row>
    <row r="735">
      <c r="B735" s="87"/>
      <c r="C735" s="88"/>
      <c r="D735" s="88"/>
      <c r="E735" s="88"/>
      <c r="F735" s="88"/>
      <c r="G735" s="114"/>
    </row>
    <row r="736">
      <c r="B736" s="87"/>
      <c r="C736" s="88"/>
      <c r="D736" s="88"/>
      <c r="E736" s="88"/>
      <c r="F736" s="88"/>
      <c r="G736" s="114"/>
    </row>
    <row r="737">
      <c r="B737" s="87"/>
      <c r="C737" s="88"/>
      <c r="D737" s="88"/>
      <c r="E737" s="88"/>
      <c r="F737" s="88"/>
      <c r="G737" s="114"/>
    </row>
    <row r="738">
      <c r="B738" s="87"/>
      <c r="C738" s="88"/>
      <c r="D738" s="88"/>
      <c r="E738" s="88"/>
      <c r="F738" s="88"/>
      <c r="G738" s="114"/>
    </row>
    <row r="739">
      <c r="B739" s="87"/>
      <c r="C739" s="88"/>
      <c r="D739" s="88"/>
      <c r="E739" s="88"/>
      <c r="F739" s="88"/>
      <c r="G739" s="114"/>
    </row>
    <row r="740">
      <c r="B740" s="87"/>
      <c r="C740" s="88"/>
      <c r="D740" s="88"/>
      <c r="E740" s="88"/>
      <c r="F740" s="88"/>
      <c r="G740" s="114"/>
    </row>
    <row r="741">
      <c r="B741" s="87"/>
      <c r="C741" s="88"/>
      <c r="D741" s="88"/>
      <c r="E741" s="88"/>
      <c r="F741" s="88"/>
      <c r="G741" s="114"/>
    </row>
    <row r="742">
      <c r="B742" s="87"/>
      <c r="C742" s="88"/>
      <c r="D742" s="88"/>
      <c r="E742" s="88"/>
      <c r="F742" s="88"/>
      <c r="G742" s="114"/>
    </row>
    <row r="743">
      <c r="B743" s="87"/>
      <c r="C743" s="88"/>
      <c r="D743" s="88"/>
      <c r="E743" s="88"/>
      <c r="F743" s="88"/>
      <c r="G743" s="114"/>
    </row>
    <row r="744">
      <c r="B744" s="87"/>
      <c r="C744" s="88"/>
      <c r="D744" s="88"/>
      <c r="E744" s="88"/>
      <c r="F744" s="88"/>
      <c r="G744" s="114"/>
    </row>
    <row r="745">
      <c r="B745" s="87"/>
      <c r="C745" s="88"/>
      <c r="D745" s="88"/>
      <c r="E745" s="88"/>
      <c r="F745" s="88"/>
      <c r="G745" s="114"/>
    </row>
    <row r="746">
      <c r="B746" s="87"/>
      <c r="C746" s="88"/>
      <c r="D746" s="88"/>
      <c r="E746" s="88"/>
      <c r="F746" s="88"/>
      <c r="G746" s="114"/>
    </row>
    <row r="747">
      <c r="B747" s="87"/>
      <c r="C747" s="88"/>
      <c r="D747" s="88"/>
      <c r="E747" s="88"/>
      <c r="F747" s="88"/>
      <c r="G747" s="114"/>
    </row>
    <row r="748">
      <c r="B748" s="87"/>
      <c r="C748" s="88"/>
      <c r="D748" s="88"/>
      <c r="E748" s="88"/>
      <c r="F748" s="88"/>
      <c r="G748" s="114"/>
    </row>
    <row r="749">
      <c r="B749" s="87"/>
      <c r="C749" s="88"/>
      <c r="D749" s="88"/>
      <c r="E749" s="88"/>
      <c r="F749" s="88"/>
      <c r="G749" s="114"/>
    </row>
    <row r="750">
      <c r="B750" s="87"/>
      <c r="C750" s="88"/>
      <c r="D750" s="88"/>
      <c r="E750" s="88"/>
      <c r="F750" s="88"/>
      <c r="G750" s="114"/>
    </row>
    <row r="751">
      <c r="B751" s="87"/>
      <c r="C751" s="88"/>
      <c r="D751" s="88"/>
      <c r="E751" s="88"/>
      <c r="F751" s="88"/>
      <c r="G751" s="114"/>
    </row>
    <row r="752">
      <c r="B752" s="87"/>
      <c r="C752" s="88"/>
      <c r="D752" s="88"/>
      <c r="E752" s="88"/>
      <c r="F752" s="88"/>
      <c r="G752" s="114"/>
    </row>
    <row r="753">
      <c r="B753" s="87"/>
      <c r="C753" s="88"/>
      <c r="D753" s="88"/>
      <c r="E753" s="88"/>
      <c r="F753" s="88"/>
      <c r="G753" s="114"/>
    </row>
    <row r="754">
      <c r="B754" s="87"/>
      <c r="C754" s="88"/>
      <c r="D754" s="88"/>
      <c r="E754" s="88"/>
      <c r="F754" s="88"/>
      <c r="G754" s="114"/>
    </row>
    <row r="755">
      <c r="B755" s="87"/>
      <c r="C755" s="88"/>
      <c r="D755" s="88"/>
      <c r="E755" s="88"/>
      <c r="F755" s="88"/>
      <c r="G755" s="114"/>
    </row>
    <row r="756">
      <c r="B756" s="87"/>
      <c r="C756" s="88"/>
      <c r="D756" s="88"/>
      <c r="E756" s="88"/>
      <c r="F756" s="88"/>
      <c r="G756" s="114"/>
    </row>
    <row r="757">
      <c r="B757" s="87"/>
      <c r="C757" s="88"/>
      <c r="D757" s="88"/>
      <c r="E757" s="88"/>
      <c r="F757" s="88"/>
      <c r="G757" s="114"/>
    </row>
    <row r="758">
      <c r="B758" s="87"/>
      <c r="C758" s="88"/>
      <c r="D758" s="88"/>
      <c r="E758" s="88"/>
      <c r="F758" s="88"/>
      <c r="G758" s="114"/>
    </row>
    <row r="759">
      <c r="B759" s="87"/>
      <c r="C759" s="88"/>
      <c r="D759" s="88"/>
      <c r="E759" s="88"/>
      <c r="F759" s="88"/>
      <c r="G759" s="114"/>
    </row>
    <row r="760">
      <c r="B760" s="87"/>
      <c r="C760" s="88"/>
      <c r="D760" s="88"/>
      <c r="E760" s="88"/>
      <c r="F760" s="88"/>
      <c r="G760" s="114"/>
    </row>
    <row r="761">
      <c r="B761" s="87"/>
      <c r="C761" s="88"/>
      <c r="D761" s="88"/>
      <c r="E761" s="88"/>
      <c r="F761" s="88"/>
      <c r="G761" s="114"/>
    </row>
    <row r="762">
      <c r="B762" s="87"/>
      <c r="C762" s="88"/>
      <c r="D762" s="88"/>
      <c r="E762" s="88"/>
      <c r="F762" s="88"/>
      <c r="G762" s="114"/>
    </row>
    <row r="763">
      <c r="B763" s="87"/>
      <c r="C763" s="88"/>
      <c r="D763" s="88"/>
      <c r="E763" s="88"/>
      <c r="F763" s="88"/>
      <c r="G763" s="114"/>
    </row>
    <row r="764">
      <c r="B764" s="87"/>
      <c r="C764" s="88"/>
      <c r="D764" s="88"/>
      <c r="E764" s="88"/>
      <c r="F764" s="88"/>
      <c r="G764" s="114"/>
    </row>
    <row r="765">
      <c r="B765" s="87"/>
      <c r="C765" s="88"/>
      <c r="D765" s="88"/>
      <c r="E765" s="88"/>
      <c r="F765" s="88"/>
      <c r="G765" s="114"/>
    </row>
    <row r="766">
      <c r="B766" s="87"/>
      <c r="C766" s="88"/>
      <c r="D766" s="88"/>
      <c r="E766" s="88"/>
      <c r="F766" s="88"/>
      <c r="G766" s="114"/>
    </row>
    <row r="767">
      <c r="B767" s="87"/>
      <c r="C767" s="88"/>
      <c r="D767" s="88"/>
      <c r="E767" s="88"/>
      <c r="F767" s="88"/>
      <c r="G767" s="114"/>
    </row>
    <row r="768">
      <c r="B768" s="87"/>
      <c r="C768" s="88"/>
      <c r="D768" s="88"/>
      <c r="E768" s="88"/>
      <c r="F768" s="88"/>
      <c r="G768" s="114"/>
    </row>
    <row r="769">
      <c r="B769" s="87"/>
      <c r="C769" s="88"/>
      <c r="D769" s="88"/>
      <c r="E769" s="88"/>
      <c r="F769" s="88"/>
      <c r="G769" s="114"/>
    </row>
    <row r="770">
      <c r="B770" s="87"/>
      <c r="C770" s="88"/>
      <c r="D770" s="88"/>
      <c r="E770" s="88"/>
      <c r="F770" s="88"/>
      <c r="G770" s="114"/>
    </row>
    <row r="771">
      <c r="B771" s="87"/>
      <c r="C771" s="88"/>
      <c r="D771" s="88"/>
      <c r="E771" s="88"/>
      <c r="F771" s="88"/>
      <c r="G771" s="114"/>
    </row>
    <row r="772">
      <c r="B772" s="87"/>
      <c r="C772" s="88"/>
      <c r="D772" s="88"/>
      <c r="E772" s="88"/>
      <c r="F772" s="88"/>
      <c r="G772" s="114"/>
    </row>
    <row r="773">
      <c r="B773" s="87"/>
      <c r="C773" s="88"/>
      <c r="D773" s="88"/>
      <c r="E773" s="88"/>
      <c r="F773" s="88"/>
      <c r="G773" s="114"/>
    </row>
    <row r="774">
      <c r="B774" s="87"/>
      <c r="C774" s="88"/>
      <c r="D774" s="88"/>
      <c r="E774" s="88"/>
      <c r="F774" s="88"/>
      <c r="G774" s="114"/>
    </row>
    <row r="775">
      <c r="B775" s="87"/>
      <c r="C775" s="88"/>
      <c r="D775" s="88"/>
      <c r="E775" s="88"/>
      <c r="F775" s="88"/>
      <c r="G775" s="114"/>
    </row>
    <row r="776">
      <c r="B776" s="87"/>
      <c r="C776" s="88"/>
      <c r="D776" s="88"/>
      <c r="E776" s="88"/>
      <c r="F776" s="88"/>
      <c r="G776" s="114"/>
    </row>
    <row r="777">
      <c r="B777" s="87"/>
      <c r="C777" s="88"/>
      <c r="D777" s="88"/>
      <c r="E777" s="88"/>
      <c r="F777" s="88"/>
      <c r="G777" s="114"/>
    </row>
    <row r="778">
      <c r="B778" s="87"/>
      <c r="C778" s="88"/>
      <c r="D778" s="88"/>
      <c r="E778" s="88"/>
      <c r="F778" s="88"/>
      <c r="G778" s="114"/>
    </row>
    <row r="779">
      <c r="B779" s="87"/>
      <c r="C779" s="88"/>
      <c r="D779" s="88"/>
      <c r="E779" s="88"/>
      <c r="F779" s="88"/>
      <c r="G779" s="114"/>
    </row>
    <row r="780">
      <c r="B780" s="87"/>
      <c r="C780" s="88"/>
      <c r="D780" s="88"/>
      <c r="E780" s="88"/>
      <c r="F780" s="88"/>
      <c r="G780" s="114"/>
    </row>
    <row r="781">
      <c r="B781" s="87"/>
      <c r="C781" s="88"/>
      <c r="D781" s="88"/>
      <c r="E781" s="88"/>
      <c r="F781" s="88"/>
      <c r="G781" s="114"/>
    </row>
    <row r="782">
      <c r="B782" s="87"/>
      <c r="C782" s="88"/>
      <c r="D782" s="88"/>
      <c r="E782" s="88"/>
      <c r="F782" s="88"/>
      <c r="G782" s="114"/>
    </row>
    <row r="783">
      <c r="B783" s="87"/>
      <c r="C783" s="88"/>
      <c r="D783" s="88"/>
      <c r="E783" s="88"/>
      <c r="F783" s="88"/>
      <c r="G783" s="114"/>
    </row>
    <row r="784">
      <c r="B784" s="87"/>
      <c r="C784" s="88"/>
      <c r="D784" s="88"/>
      <c r="E784" s="88"/>
      <c r="F784" s="88"/>
      <c r="G784" s="114"/>
    </row>
    <row r="785">
      <c r="B785" s="87"/>
      <c r="C785" s="88"/>
      <c r="D785" s="88"/>
      <c r="E785" s="88"/>
      <c r="F785" s="88"/>
      <c r="G785" s="114"/>
    </row>
    <row r="786">
      <c r="B786" s="87"/>
      <c r="C786" s="88"/>
      <c r="D786" s="88"/>
      <c r="E786" s="88"/>
      <c r="F786" s="88"/>
      <c r="G786" s="114"/>
    </row>
    <row r="787">
      <c r="B787" s="87"/>
      <c r="C787" s="88"/>
      <c r="D787" s="88"/>
      <c r="E787" s="88"/>
      <c r="F787" s="88"/>
      <c r="G787" s="114"/>
    </row>
    <row r="788">
      <c r="B788" s="87"/>
      <c r="C788" s="88"/>
      <c r="D788" s="88"/>
      <c r="E788" s="88"/>
      <c r="F788" s="88"/>
      <c r="G788" s="114"/>
    </row>
    <row r="789">
      <c r="B789" s="87"/>
      <c r="C789" s="88"/>
      <c r="D789" s="88"/>
      <c r="E789" s="88"/>
      <c r="F789" s="88"/>
      <c r="G789" s="114"/>
    </row>
    <row r="790">
      <c r="B790" s="87"/>
      <c r="C790" s="88"/>
      <c r="D790" s="88"/>
      <c r="E790" s="88"/>
      <c r="F790" s="88"/>
      <c r="G790" s="114"/>
    </row>
    <row r="791">
      <c r="B791" s="87"/>
      <c r="C791" s="88"/>
      <c r="D791" s="88"/>
      <c r="E791" s="88"/>
      <c r="F791" s="88"/>
      <c r="G791" s="114"/>
    </row>
    <row r="792">
      <c r="B792" s="87"/>
      <c r="C792" s="88"/>
      <c r="D792" s="88"/>
      <c r="E792" s="88"/>
      <c r="F792" s="88"/>
      <c r="G792" s="114"/>
    </row>
    <row r="793">
      <c r="B793" s="87"/>
      <c r="C793" s="88"/>
      <c r="D793" s="88"/>
      <c r="E793" s="88"/>
      <c r="F793" s="88"/>
      <c r="G793" s="114"/>
    </row>
    <row r="794">
      <c r="B794" s="87"/>
      <c r="C794" s="88"/>
      <c r="D794" s="88"/>
      <c r="E794" s="88"/>
      <c r="F794" s="88"/>
      <c r="G794" s="114"/>
    </row>
    <row r="795">
      <c r="B795" s="87"/>
      <c r="C795" s="88"/>
      <c r="D795" s="88"/>
      <c r="E795" s="88"/>
      <c r="F795" s="88"/>
      <c r="G795" s="114"/>
    </row>
    <row r="796">
      <c r="B796" s="87"/>
      <c r="C796" s="88"/>
      <c r="D796" s="88"/>
      <c r="E796" s="88"/>
      <c r="F796" s="88"/>
      <c r="G796" s="114"/>
    </row>
    <row r="797">
      <c r="B797" s="87"/>
      <c r="C797" s="88"/>
      <c r="D797" s="88"/>
      <c r="E797" s="88"/>
      <c r="F797" s="88"/>
      <c r="G797" s="114"/>
    </row>
    <row r="798">
      <c r="B798" s="87"/>
      <c r="C798" s="88"/>
      <c r="D798" s="88"/>
      <c r="E798" s="88"/>
      <c r="F798" s="88"/>
      <c r="G798" s="114"/>
    </row>
    <row r="799">
      <c r="B799" s="87"/>
      <c r="C799" s="88"/>
      <c r="D799" s="88"/>
      <c r="E799" s="88"/>
      <c r="F799" s="88"/>
      <c r="G799" s="114"/>
    </row>
    <row r="800">
      <c r="B800" s="87"/>
      <c r="C800" s="88"/>
      <c r="D800" s="88"/>
      <c r="E800" s="88"/>
      <c r="F800" s="88"/>
      <c r="G800" s="114"/>
    </row>
    <row r="801">
      <c r="B801" s="87"/>
      <c r="C801" s="88"/>
      <c r="D801" s="88"/>
      <c r="E801" s="88"/>
      <c r="F801" s="88"/>
      <c r="G801" s="114"/>
    </row>
    <row r="802">
      <c r="B802" s="87"/>
      <c r="C802" s="88"/>
      <c r="D802" s="88"/>
      <c r="E802" s="88"/>
      <c r="F802" s="88"/>
      <c r="G802" s="114"/>
    </row>
    <row r="803">
      <c r="B803" s="87"/>
      <c r="C803" s="88"/>
      <c r="D803" s="88"/>
      <c r="E803" s="88"/>
      <c r="F803" s="88"/>
      <c r="G803" s="114"/>
    </row>
    <row r="804">
      <c r="B804" s="87"/>
      <c r="C804" s="88"/>
      <c r="D804" s="88"/>
      <c r="E804" s="88"/>
      <c r="F804" s="88"/>
      <c r="G804" s="114"/>
    </row>
    <row r="805">
      <c r="B805" s="87"/>
      <c r="C805" s="88"/>
      <c r="D805" s="88"/>
      <c r="E805" s="88"/>
      <c r="F805" s="88"/>
      <c r="G805" s="114"/>
    </row>
    <row r="806">
      <c r="B806" s="87"/>
      <c r="C806" s="88"/>
      <c r="D806" s="88"/>
      <c r="E806" s="88"/>
      <c r="F806" s="88"/>
      <c r="G806" s="114"/>
    </row>
    <row r="807">
      <c r="B807" s="87"/>
      <c r="C807" s="88"/>
      <c r="D807" s="88"/>
      <c r="E807" s="88"/>
      <c r="F807" s="88"/>
      <c r="G807" s="114"/>
    </row>
    <row r="808">
      <c r="B808" s="87"/>
      <c r="C808" s="88"/>
      <c r="D808" s="88"/>
      <c r="E808" s="88"/>
      <c r="F808" s="88"/>
      <c r="G808" s="114"/>
    </row>
    <row r="809">
      <c r="B809" s="87"/>
      <c r="C809" s="88"/>
      <c r="D809" s="88"/>
      <c r="E809" s="88"/>
      <c r="F809" s="88"/>
      <c r="G809" s="114"/>
    </row>
    <row r="810">
      <c r="B810" s="87"/>
      <c r="C810" s="88"/>
      <c r="D810" s="88"/>
      <c r="E810" s="88"/>
      <c r="F810" s="88"/>
      <c r="G810" s="114"/>
    </row>
    <row r="811">
      <c r="B811" s="87"/>
      <c r="C811" s="88"/>
      <c r="D811" s="88"/>
      <c r="E811" s="88"/>
      <c r="F811" s="88"/>
      <c r="G811" s="114"/>
    </row>
    <row r="812">
      <c r="B812" s="87"/>
      <c r="C812" s="88"/>
      <c r="D812" s="88"/>
      <c r="E812" s="88"/>
      <c r="F812" s="88"/>
      <c r="G812" s="114"/>
    </row>
    <row r="813">
      <c r="B813" s="87"/>
      <c r="C813" s="88"/>
      <c r="D813" s="88"/>
      <c r="E813" s="88"/>
      <c r="F813" s="88"/>
      <c r="G813" s="114"/>
    </row>
    <row r="814">
      <c r="B814" s="87"/>
      <c r="C814" s="88"/>
      <c r="D814" s="88"/>
      <c r="E814" s="88"/>
      <c r="F814" s="88"/>
      <c r="G814" s="114"/>
    </row>
    <row r="815">
      <c r="B815" s="87"/>
      <c r="C815" s="88"/>
      <c r="D815" s="88"/>
      <c r="E815" s="88"/>
      <c r="F815" s="88"/>
      <c r="G815" s="114"/>
    </row>
    <row r="816">
      <c r="B816" s="87"/>
      <c r="C816" s="88"/>
      <c r="D816" s="88"/>
      <c r="E816" s="88"/>
      <c r="F816" s="88"/>
      <c r="G816" s="114"/>
    </row>
    <row r="817">
      <c r="B817" s="87"/>
      <c r="C817" s="88"/>
      <c r="D817" s="88"/>
      <c r="E817" s="88"/>
      <c r="F817" s="88"/>
      <c r="G817" s="114"/>
    </row>
    <row r="818">
      <c r="B818" s="87"/>
      <c r="C818" s="88"/>
      <c r="D818" s="88"/>
      <c r="E818" s="88"/>
      <c r="F818" s="88"/>
      <c r="G818" s="114"/>
    </row>
    <row r="819">
      <c r="B819" s="87"/>
      <c r="C819" s="88"/>
      <c r="D819" s="88"/>
      <c r="E819" s="88"/>
      <c r="F819" s="88"/>
      <c r="G819" s="114"/>
    </row>
    <row r="820">
      <c r="B820" s="87"/>
      <c r="C820" s="88"/>
      <c r="D820" s="88"/>
      <c r="E820" s="88"/>
      <c r="F820" s="88"/>
      <c r="G820" s="114"/>
    </row>
    <row r="821">
      <c r="B821" s="87"/>
      <c r="C821" s="88"/>
      <c r="D821" s="88"/>
      <c r="E821" s="88"/>
      <c r="F821" s="88"/>
      <c r="G821" s="114"/>
    </row>
    <row r="822">
      <c r="B822" s="87"/>
      <c r="C822" s="88"/>
      <c r="D822" s="88"/>
      <c r="E822" s="88"/>
      <c r="F822" s="88"/>
      <c r="G822" s="114"/>
    </row>
    <row r="823">
      <c r="B823" s="87"/>
      <c r="C823" s="88"/>
      <c r="D823" s="88"/>
      <c r="E823" s="88"/>
      <c r="F823" s="88"/>
      <c r="G823" s="114"/>
    </row>
    <row r="824">
      <c r="B824" s="87"/>
      <c r="C824" s="88"/>
      <c r="D824" s="88"/>
      <c r="E824" s="88"/>
      <c r="F824" s="88"/>
      <c r="G824" s="114"/>
    </row>
    <row r="825">
      <c r="B825" s="87"/>
      <c r="C825" s="88"/>
      <c r="D825" s="88"/>
      <c r="E825" s="88"/>
      <c r="F825" s="88"/>
      <c r="G825" s="114"/>
    </row>
    <row r="826">
      <c r="B826" s="87"/>
      <c r="C826" s="88"/>
      <c r="D826" s="88"/>
      <c r="E826" s="88"/>
      <c r="F826" s="88"/>
      <c r="G826" s="114"/>
    </row>
    <row r="827">
      <c r="B827" s="87"/>
      <c r="C827" s="88"/>
      <c r="D827" s="88"/>
      <c r="E827" s="88"/>
      <c r="F827" s="88"/>
      <c r="G827" s="114"/>
    </row>
    <row r="828">
      <c r="B828" s="87"/>
      <c r="C828" s="88"/>
      <c r="D828" s="88"/>
      <c r="E828" s="88"/>
      <c r="F828" s="88"/>
      <c r="G828" s="114"/>
    </row>
    <row r="829">
      <c r="B829" s="87"/>
      <c r="C829" s="88"/>
      <c r="D829" s="88"/>
      <c r="E829" s="88"/>
      <c r="F829" s="88"/>
      <c r="G829" s="114"/>
    </row>
    <row r="830">
      <c r="B830" s="87"/>
      <c r="C830" s="88"/>
      <c r="D830" s="88"/>
      <c r="E830" s="88"/>
      <c r="F830" s="88"/>
      <c r="G830" s="114"/>
    </row>
    <row r="831">
      <c r="B831" s="87"/>
      <c r="C831" s="88"/>
      <c r="D831" s="88"/>
      <c r="E831" s="88"/>
      <c r="F831" s="88"/>
      <c r="G831" s="114"/>
    </row>
    <row r="832">
      <c r="B832" s="87"/>
      <c r="C832" s="88"/>
      <c r="D832" s="88"/>
      <c r="E832" s="88"/>
      <c r="F832" s="88"/>
      <c r="G832" s="114"/>
    </row>
    <row r="833">
      <c r="B833" s="87"/>
      <c r="C833" s="88"/>
      <c r="D833" s="88"/>
      <c r="E833" s="88"/>
      <c r="F833" s="88"/>
      <c r="G833" s="114"/>
    </row>
    <row r="834">
      <c r="B834" s="87"/>
      <c r="C834" s="88"/>
      <c r="D834" s="88"/>
      <c r="E834" s="88"/>
      <c r="F834" s="88"/>
      <c r="G834" s="114"/>
    </row>
    <row r="835">
      <c r="B835" s="87"/>
      <c r="C835" s="88"/>
      <c r="D835" s="88"/>
      <c r="E835" s="88"/>
      <c r="F835" s="88"/>
      <c r="G835" s="114"/>
    </row>
    <row r="836">
      <c r="B836" s="87"/>
      <c r="C836" s="88"/>
      <c r="D836" s="88"/>
      <c r="E836" s="88"/>
      <c r="F836" s="88"/>
      <c r="G836" s="114"/>
    </row>
    <row r="837">
      <c r="B837" s="87"/>
      <c r="C837" s="88"/>
      <c r="D837" s="88"/>
      <c r="E837" s="88"/>
      <c r="F837" s="88"/>
      <c r="G837" s="114"/>
    </row>
    <row r="838">
      <c r="B838" s="87"/>
      <c r="C838" s="88"/>
      <c r="D838" s="88"/>
      <c r="E838" s="88"/>
      <c r="F838" s="88"/>
      <c r="G838" s="114"/>
    </row>
    <row r="839">
      <c r="B839" s="87"/>
      <c r="C839" s="88"/>
      <c r="D839" s="88"/>
      <c r="E839" s="88"/>
      <c r="F839" s="88"/>
      <c r="G839" s="114"/>
    </row>
    <row r="840">
      <c r="B840" s="87"/>
      <c r="C840" s="88"/>
      <c r="D840" s="88"/>
      <c r="E840" s="88"/>
      <c r="F840" s="88"/>
      <c r="G840" s="114"/>
    </row>
    <row r="841">
      <c r="B841" s="87"/>
      <c r="C841" s="88"/>
      <c r="D841" s="88"/>
      <c r="E841" s="88"/>
      <c r="F841" s="88"/>
      <c r="G841" s="114"/>
    </row>
    <row r="842">
      <c r="B842" s="87"/>
      <c r="C842" s="88"/>
      <c r="D842" s="88"/>
      <c r="E842" s="88"/>
      <c r="F842" s="88"/>
      <c r="G842" s="114"/>
    </row>
    <row r="843">
      <c r="B843" s="87"/>
      <c r="C843" s="88"/>
      <c r="D843" s="88"/>
      <c r="E843" s="88"/>
      <c r="F843" s="88"/>
      <c r="G843" s="114"/>
    </row>
    <row r="844">
      <c r="B844" s="87"/>
      <c r="C844" s="88"/>
      <c r="D844" s="88"/>
      <c r="E844" s="88"/>
      <c r="F844" s="88"/>
      <c r="G844" s="114"/>
    </row>
    <row r="845">
      <c r="B845" s="87"/>
      <c r="C845" s="88"/>
      <c r="D845" s="88"/>
      <c r="E845" s="88"/>
      <c r="F845" s="88"/>
      <c r="G845" s="114"/>
    </row>
    <row r="846">
      <c r="B846" s="87"/>
      <c r="C846" s="88"/>
      <c r="D846" s="88"/>
      <c r="E846" s="88"/>
      <c r="F846" s="88"/>
      <c r="G846" s="114"/>
    </row>
    <row r="847">
      <c r="B847" s="87"/>
      <c r="C847" s="88"/>
      <c r="D847" s="88"/>
      <c r="E847" s="88"/>
      <c r="F847" s="88"/>
      <c r="G847" s="114"/>
    </row>
    <row r="848">
      <c r="B848" s="87"/>
      <c r="C848" s="88"/>
      <c r="D848" s="88"/>
      <c r="E848" s="88"/>
      <c r="F848" s="88"/>
      <c r="G848" s="114"/>
    </row>
    <row r="849">
      <c r="B849" s="87"/>
      <c r="C849" s="88"/>
      <c r="D849" s="88"/>
      <c r="E849" s="88"/>
      <c r="F849" s="88"/>
      <c r="G849" s="114"/>
    </row>
    <row r="850">
      <c r="B850" s="87"/>
      <c r="C850" s="88"/>
      <c r="D850" s="88"/>
      <c r="E850" s="88"/>
      <c r="F850" s="88"/>
      <c r="G850" s="114"/>
    </row>
    <row r="851">
      <c r="B851" s="87"/>
      <c r="C851" s="88"/>
      <c r="D851" s="88"/>
      <c r="E851" s="88"/>
      <c r="F851" s="88"/>
      <c r="G851" s="114"/>
    </row>
    <row r="852">
      <c r="B852" s="87"/>
      <c r="C852" s="88"/>
      <c r="D852" s="88"/>
      <c r="E852" s="88"/>
      <c r="F852" s="88"/>
      <c r="G852" s="114"/>
    </row>
    <row r="853">
      <c r="B853" s="87"/>
      <c r="C853" s="88"/>
      <c r="D853" s="88"/>
      <c r="E853" s="88"/>
      <c r="F853" s="88"/>
      <c r="G853" s="114"/>
    </row>
    <row r="854">
      <c r="B854" s="87"/>
      <c r="C854" s="88"/>
      <c r="D854" s="88"/>
      <c r="E854" s="88"/>
      <c r="F854" s="88"/>
      <c r="G854" s="114"/>
    </row>
    <row r="855">
      <c r="B855" s="87"/>
      <c r="C855" s="88"/>
      <c r="D855" s="88"/>
      <c r="E855" s="88"/>
      <c r="F855" s="88"/>
      <c r="G855" s="114"/>
    </row>
    <row r="856">
      <c r="B856" s="87"/>
      <c r="C856" s="88"/>
      <c r="D856" s="88"/>
      <c r="E856" s="88"/>
      <c r="F856" s="88"/>
      <c r="G856" s="114"/>
    </row>
    <row r="857">
      <c r="B857" s="87"/>
      <c r="C857" s="88"/>
      <c r="D857" s="88"/>
      <c r="E857" s="88"/>
      <c r="F857" s="88"/>
      <c r="G857" s="114"/>
    </row>
    <row r="858">
      <c r="B858" s="87"/>
      <c r="C858" s="88"/>
      <c r="D858" s="88"/>
      <c r="E858" s="88"/>
      <c r="F858" s="88"/>
      <c r="G858" s="114"/>
    </row>
    <row r="859">
      <c r="B859" s="87"/>
      <c r="C859" s="88"/>
      <c r="D859" s="88"/>
      <c r="E859" s="88"/>
      <c r="F859" s="88"/>
      <c r="G859" s="114"/>
    </row>
    <row r="860">
      <c r="B860" s="87"/>
      <c r="C860" s="88"/>
      <c r="D860" s="88"/>
      <c r="E860" s="88"/>
      <c r="F860" s="88"/>
      <c r="G860" s="114"/>
    </row>
    <row r="861">
      <c r="B861" s="87"/>
      <c r="C861" s="88"/>
      <c r="D861" s="88"/>
      <c r="E861" s="88"/>
      <c r="F861" s="88"/>
      <c r="G861" s="114"/>
    </row>
    <row r="862">
      <c r="B862" s="87"/>
      <c r="C862" s="88"/>
      <c r="D862" s="88"/>
      <c r="E862" s="88"/>
      <c r="F862" s="88"/>
      <c r="G862" s="114"/>
    </row>
    <row r="863">
      <c r="B863" s="87"/>
      <c r="C863" s="88"/>
      <c r="D863" s="88"/>
      <c r="E863" s="88"/>
      <c r="F863" s="88"/>
      <c r="G863" s="114"/>
    </row>
    <row r="864">
      <c r="B864" s="87"/>
      <c r="C864" s="88"/>
      <c r="D864" s="88"/>
      <c r="E864" s="88"/>
      <c r="F864" s="88"/>
      <c r="G864" s="114"/>
    </row>
    <row r="865">
      <c r="B865" s="87"/>
      <c r="C865" s="88"/>
      <c r="D865" s="88"/>
      <c r="E865" s="88"/>
      <c r="F865" s="88"/>
      <c r="G865" s="114"/>
    </row>
    <row r="866">
      <c r="B866" s="87"/>
      <c r="C866" s="88"/>
      <c r="D866" s="88"/>
      <c r="E866" s="88"/>
      <c r="F866" s="88"/>
      <c r="G866" s="114"/>
    </row>
    <row r="867">
      <c r="B867" s="87"/>
      <c r="C867" s="88"/>
      <c r="D867" s="88"/>
      <c r="E867" s="88"/>
      <c r="F867" s="88"/>
      <c r="G867" s="114"/>
    </row>
    <row r="868">
      <c r="B868" s="87"/>
      <c r="C868" s="88"/>
      <c r="D868" s="88"/>
      <c r="E868" s="88"/>
      <c r="F868" s="88"/>
      <c r="G868" s="114"/>
    </row>
    <row r="869">
      <c r="B869" s="87"/>
      <c r="C869" s="88"/>
      <c r="D869" s="88"/>
      <c r="E869" s="88"/>
      <c r="F869" s="88"/>
      <c r="G869" s="114"/>
    </row>
    <row r="870">
      <c r="B870" s="87"/>
      <c r="C870" s="88"/>
      <c r="D870" s="88"/>
      <c r="E870" s="88"/>
      <c r="F870" s="88"/>
      <c r="G870" s="114"/>
    </row>
    <row r="871">
      <c r="B871" s="87"/>
      <c r="C871" s="88"/>
      <c r="D871" s="88"/>
      <c r="E871" s="88"/>
      <c r="F871" s="88"/>
      <c r="G871" s="114"/>
    </row>
    <row r="872">
      <c r="B872" s="87"/>
      <c r="C872" s="88"/>
      <c r="D872" s="88"/>
      <c r="E872" s="88"/>
      <c r="F872" s="88"/>
      <c r="G872" s="114"/>
    </row>
    <row r="873">
      <c r="B873" s="87"/>
      <c r="C873" s="88"/>
      <c r="D873" s="88"/>
      <c r="E873" s="88"/>
      <c r="F873" s="88"/>
      <c r="G873" s="114"/>
    </row>
    <row r="874">
      <c r="B874" s="87"/>
      <c r="C874" s="88"/>
      <c r="D874" s="88"/>
      <c r="E874" s="88"/>
      <c r="F874" s="88"/>
      <c r="G874" s="114"/>
    </row>
    <row r="875">
      <c r="B875" s="87"/>
      <c r="C875" s="88"/>
      <c r="D875" s="88"/>
      <c r="E875" s="88"/>
      <c r="F875" s="88"/>
      <c r="G875" s="114"/>
    </row>
    <row r="876">
      <c r="B876" s="87"/>
      <c r="C876" s="88"/>
      <c r="D876" s="88"/>
      <c r="E876" s="88"/>
      <c r="F876" s="88"/>
      <c r="G876" s="114"/>
    </row>
    <row r="877">
      <c r="B877" s="87"/>
      <c r="C877" s="88"/>
      <c r="D877" s="88"/>
      <c r="E877" s="88"/>
      <c r="F877" s="88"/>
      <c r="G877" s="114"/>
    </row>
    <row r="878">
      <c r="B878" s="87"/>
      <c r="C878" s="88"/>
      <c r="D878" s="88"/>
      <c r="E878" s="88"/>
      <c r="F878" s="88"/>
      <c r="G878" s="114"/>
    </row>
    <row r="879">
      <c r="B879" s="87"/>
      <c r="C879" s="88"/>
      <c r="D879" s="88"/>
      <c r="E879" s="88"/>
      <c r="F879" s="88"/>
      <c r="G879" s="114"/>
    </row>
    <row r="880">
      <c r="B880" s="87"/>
      <c r="C880" s="88"/>
      <c r="D880" s="88"/>
      <c r="E880" s="88"/>
      <c r="F880" s="88"/>
      <c r="G880" s="114"/>
    </row>
    <row r="881">
      <c r="B881" s="87"/>
      <c r="C881" s="88"/>
      <c r="D881" s="88"/>
      <c r="E881" s="88"/>
      <c r="F881" s="88"/>
      <c r="G881" s="114"/>
    </row>
    <row r="882">
      <c r="B882" s="87"/>
      <c r="C882" s="88"/>
      <c r="D882" s="88"/>
      <c r="E882" s="88"/>
      <c r="F882" s="88"/>
      <c r="G882" s="114"/>
    </row>
    <row r="883">
      <c r="B883" s="87"/>
      <c r="C883" s="88"/>
      <c r="D883" s="88"/>
      <c r="E883" s="88"/>
      <c r="F883" s="88"/>
      <c r="G883" s="114"/>
    </row>
    <row r="884">
      <c r="B884" s="87"/>
      <c r="C884" s="88"/>
      <c r="D884" s="88"/>
      <c r="E884" s="88"/>
      <c r="F884" s="88"/>
      <c r="G884" s="114"/>
    </row>
    <row r="885">
      <c r="B885" s="87"/>
      <c r="C885" s="88"/>
      <c r="D885" s="88"/>
      <c r="E885" s="88"/>
      <c r="F885" s="88"/>
      <c r="G885" s="114"/>
    </row>
    <row r="886">
      <c r="B886" s="87"/>
      <c r="C886" s="88"/>
      <c r="D886" s="88"/>
      <c r="E886" s="88"/>
      <c r="F886" s="88"/>
      <c r="G886" s="114"/>
    </row>
    <row r="887">
      <c r="B887" s="87"/>
      <c r="C887" s="88"/>
      <c r="D887" s="88"/>
      <c r="E887" s="88"/>
      <c r="F887" s="88"/>
      <c r="G887" s="114"/>
    </row>
    <row r="888">
      <c r="B888" s="87"/>
      <c r="C888" s="88"/>
      <c r="D888" s="88"/>
      <c r="E888" s="88"/>
      <c r="F888" s="88"/>
      <c r="G888" s="114"/>
    </row>
    <row r="889">
      <c r="B889" s="87"/>
      <c r="C889" s="88"/>
      <c r="D889" s="88"/>
      <c r="E889" s="88"/>
      <c r="F889" s="88"/>
      <c r="G889" s="114"/>
    </row>
    <row r="890">
      <c r="B890" s="87"/>
      <c r="C890" s="88"/>
      <c r="D890" s="88"/>
      <c r="E890" s="88"/>
      <c r="F890" s="88"/>
      <c r="G890" s="114"/>
    </row>
    <row r="891">
      <c r="B891" s="87"/>
      <c r="C891" s="88"/>
      <c r="D891" s="88"/>
      <c r="E891" s="88"/>
      <c r="F891" s="88"/>
      <c r="G891" s="114"/>
    </row>
    <row r="892">
      <c r="B892" s="87"/>
      <c r="C892" s="88"/>
      <c r="D892" s="88"/>
      <c r="E892" s="88"/>
      <c r="F892" s="88"/>
      <c r="G892" s="114"/>
    </row>
    <row r="893">
      <c r="B893" s="87"/>
      <c r="C893" s="88"/>
      <c r="D893" s="88"/>
      <c r="E893" s="88"/>
      <c r="F893" s="88"/>
      <c r="G893" s="114"/>
    </row>
    <row r="894">
      <c r="B894" s="87"/>
      <c r="C894" s="88"/>
      <c r="D894" s="88"/>
      <c r="E894" s="88"/>
      <c r="F894" s="88"/>
      <c r="G894" s="114"/>
    </row>
    <row r="895">
      <c r="B895" s="87"/>
      <c r="C895" s="88"/>
      <c r="D895" s="88"/>
      <c r="E895" s="88"/>
      <c r="F895" s="88"/>
      <c r="G895" s="114"/>
    </row>
    <row r="896">
      <c r="B896" s="87"/>
      <c r="C896" s="88"/>
      <c r="D896" s="88"/>
      <c r="E896" s="88"/>
      <c r="F896" s="88"/>
      <c r="G896" s="114"/>
    </row>
    <row r="897">
      <c r="B897" s="87"/>
      <c r="C897" s="88"/>
      <c r="D897" s="88"/>
      <c r="E897" s="88"/>
      <c r="F897" s="88"/>
      <c r="G897" s="114"/>
    </row>
    <row r="898">
      <c r="B898" s="87"/>
      <c r="C898" s="88"/>
      <c r="D898" s="88"/>
      <c r="E898" s="88"/>
      <c r="F898" s="88"/>
      <c r="G898" s="114"/>
    </row>
    <row r="899">
      <c r="B899" s="87"/>
      <c r="C899" s="88"/>
      <c r="D899" s="88"/>
      <c r="E899" s="88"/>
      <c r="F899" s="88"/>
      <c r="G899" s="114"/>
    </row>
    <row r="900">
      <c r="B900" s="87"/>
      <c r="C900" s="88"/>
      <c r="D900" s="88"/>
      <c r="E900" s="88"/>
      <c r="F900" s="88"/>
      <c r="G900" s="114"/>
    </row>
    <row r="901">
      <c r="B901" s="87"/>
      <c r="C901" s="88"/>
      <c r="D901" s="88"/>
      <c r="E901" s="88"/>
      <c r="F901" s="88"/>
      <c r="G901" s="114"/>
    </row>
    <row r="902">
      <c r="B902" s="87"/>
      <c r="C902" s="88"/>
      <c r="D902" s="88"/>
      <c r="E902" s="88"/>
      <c r="F902" s="88"/>
      <c r="G902" s="114"/>
    </row>
    <row r="903">
      <c r="B903" s="87"/>
      <c r="C903" s="88"/>
      <c r="D903" s="88"/>
      <c r="E903" s="88"/>
      <c r="F903" s="88"/>
      <c r="G903" s="114"/>
    </row>
    <row r="904">
      <c r="B904" s="87"/>
      <c r="C904" s="88"/>
      <c r="D904" s="88"/>
      <c r="E904" s="88"/>
      <c r="F904" s="88"/>
      <c r="G904" s="114"/>
    </row>
    <row r="905">
      <c r="B905" s="87"/>
      <c r="C905" s="88"/>
      <c r="D905" s="88"/>
      <c r="E905" s="88"/>
      <c r="F905" s="88"/>
      <c r="G905" s="114"/>
    </row>
    <row r="906">
      <c r="B906" s="87"/>
      <c r="C906" s="88"/>
      <c r="D906" s="88"/>
      <c r="E906" s="88"/>
      <c r="F906" s="88"/>
      <c r="G906" s="114"/>
    </row>
    <row r="907">
      <c r="B907" s="87"/>
      <c r="C907" s="88"/>
      <c r="D907" s="88"/>
      <c r="E907" s="88"/>
      <c r="F907" s="88"/>
      <c r="G907" s="114"/>
    </row>
    <row r="908">
      <c r="B908" s="87"/>
      <c r="C908" s="88"/>
      <c r="D908" s="88"/>
      <c r="E908" s="88"/>
      <c r="F908" s="88"/>
      <c r="G908" s="114"/>
    </row>
    <row r="909">
      <c r="B909" s="87"/>
      <c r="C909" s="88"/>
      <c r="D909" s="88"/>
      <c r="E909" s="88"/>
      <c r="F909" s="88"/>
      <c r="G909" s="114"/>
    </row>
    <row r="910">
      <c r="B910" s="87"/>
      <c r="C910" s="88"/>
      <c r="D910" s="88"/>
      <c r="E910" s="88"/>
      <c r="F910" s="88"/>
      <c r="G910" s="114"/>
    </row>
    <row r="911">
      <c r="B911" s="87"/>
      <c r="C911" s="88"/>
      <c r="D911" s="88"/>
      <c r="E911" s="88"/>
      <c r="F911" s="88"/>
      <c r="G911" s="114"/>
    </row>
    <row r="912">
      <c r="B912" s="87"/>
      <c r="C912" s="88"/>
      <c r="D912" s="88"/>
      <c r="E912" s="88"/>
      <c r="F912" s="88"/>
      <c r="G912" s="114"/>
    </row>
    <row r="913">
      <c r="B913" s="87"/>
      <c r="C913" s="88"/>
      <c r="D913" s="88"/>
      <c r="E913" s="88"/>
      <c r="F913" s="88"/>
      <c r="G913" s="114"/>
    </row>
    <row r="914">
      <c r="B914" s="87"/>
      <c r="C914" s="88"/>
      <c r="D914" s="88"/>
      <c r="E914" s="88"/>
      <c r="F914" s="88"/>
      <c r="G914" s="114"/>
    </row>
    <row r="915">
      <c r="B915" s="87"/>
      <c r="C915" s="88"/>
      <c r="D915" s="88"/>
      <c r="E915" s="88"/>
      <c r="F915" s="88"/>
      <c r="G915" s="114"/>
    </row>
    <row r="916">
      <c r="B916" s="87"/>
      <c r="C916" s="88"/>
      <c r="D916" s="88"/>
      <c r="E916" s="88"/>
      <c r="F916" s="88"/>
      <c r="G916" s="114"/>
    </row>
    <row r="917">
      <c r="B917" s="87"/>
      <c r="C917" s="88"/>
      <c r="D917" s="88"/>
      <c r="E917" s="88"/>
      <c r="F917" s="88"/>
      <c r="G917" s="114"/>
    </row>
    <row r="918">
      <c r="B918" s="87"/>
      <c r="C918" s="88"/>
      <c r="D918" s="88"/>
      <c r="E918" s="88"/>
      <c r="F918" s="88"/>
      <c r="G918" s="114"/>
    </row>
    <row r="919">
      <c r="B919" s="87"/>
      <c r="C919" s="88"/>
      <c r="D919" s="88"/>
      <c r="E919" s="88"/>
      <c r="F919" s="88"/>
      <c r="G919" s="114"/>
    </row>
    <row r="920">
      <c r="B920" s="87"/>
      <c r="C920" s="88"/>
      <c r="D920" s="88"/>
      <c r="E920" s="88"/>
      <c r="F920" s="88"/>
      <c r="G920" s="114"/>
    </row>
    <row r="921">
      <c r="B921" s="87"/>
      <c r="C921" s="88"/>
      <c r="D921" s="88"/>
      <c r="E921" s="88"/>
      <c r="F921" s="88"/>
      <c r="G921" s="114"/>
    </row>
    <row r="922">
      <c r="B922" s="87"/>
      <c r="C922" s="88"/>
      <c r="D922" s="88"/>
      <c r="E922" s="88"/>
      <c r="F922" s="88"/>
      <c r="G922" s="114"/>
    </row>
    <row r="923">
      <c r="B923" s="87"/>
      <c r="C923" s="88"/>
      <c r="D923" s="88"/>
      <c r="E923" s="88"/>
      <c r="F923" s="88"/>
      <c r="G923" s="114"/>
    </row>
    <row r="924">
      <c r="B924" s="87"/>
      <c r="C924" s="88"/>
      <c r="D924" s="88"/>
      <c r="E924" s="88"/>
      <c r="F924" s="88"/>
      <c r="G924" s="114"/>
    </row>
    <row r="925">
      <c r="B925" s="87"/>
      <c r="C925" s="88"/>
      <c r="D925" s="88"/>
      <c r="E925" s="88"/>
      <c r="F925" s="88"/>
      <c r="G925" s="114"/>
    </row>
    <row r="926">
      <c r="B926" s="87"/>
      <c r="C926" s="88"/>
      <c r="D926" s="88"/>
      <c r="E926" s="88"/>
      <c r="F926" s="88"/>
      <c r="G926" s="114"/>
    </row>
    <row r="927">
      <c r="B927" s="87"/>
      <c r="C927" s="88"/>
      <c r="D927" s="88"/>
      <c r="E927" s="88"/>
      <c r="F927" s="88"/>
      <c r="G927" s="114"/>
    </row>
    <row r="928">
      <c r="B928" s="87"/>
      <c r="C928" s="88"/>
      <c r="D928" s="88"/>
      <c r="E928" s="88"/>
      <c r="F928" s="88"/>
      <c r="G928" s="114"/>
    </row>
    <row r="929">
      <c r="B929" s="87"/>
      <c r="C929" s="88"/>
      <c r="D929" s="88"/>
      <c r="E929" s="88"/>
      <c r="F929" s="88"/>
      <c r="G929" s="114"/>
    </row>
    <row r="930">
      <c r="B930" s="87"/>
      <c r="C930" s="88"/>
      <c r="D930" s="88"/>
      <c r="E930" s="88"/>
      <c r="F930" s="88"/>
      <c r="G930" s="114"/>
    </row>
    <row r="931">
      <c r="B931" s="87"/>
      <c r="C931" s="88"/>
      <c r="D931" s="88"/>
      <c r="E931" s="88"/>
      <c r="F931" s="88"/>
      <c r="G931" s="114"/>
    </row>
    <row r="932">
      <c r="B932" s="87"/>
      <c r="C932" s="88"/>
      <c r="D932" s="88"/>
      <c r="E932" s="88"/>
      <c r="F932" s="88"/>
      <c r="G932" s="114"/>
    </row>
    <row r="933">
      <c r="B933" s="87"/>
      <c r="C933" s="88"/>
      <c r="D933" s="88"/>
      <c r="E933" s="88"/>
      <c r="F933" s="88"/>
      <c r="G933" s="114"/>
    </row>
    <row r="934">
      <c r="B934" s="87"/>
      <c r="C934" s="88"/>
      <c r="D934" s="88"/>
      <c r="E934" s="88"/>
      <c r="F934" s="88"/>
      <c r="G934" s="114"/>
    </row>
    <row r="935">
      <c r="B935" s="87"/>
      <c r="C935" s="88"/>
      <c r="D935" s="88"/>
      <c r="E935" s="88"/>
      <c r="F935" s="88"/>
      <c r="G935" s="114"/>
    </row>
    <row r="936">
      <c r="B936" s="87"/>
      <c r="C936" s="88"/>
      <c r="D936" s="88"/>
      <c r="E936" s="88"/>
      <c r="F936" s="88"/>
      <c r="G936" s="114"/>
    </row>
    <row r="937">
      <c r="B937" s="87"/>
      <c r="C937" s="88"/>
      <c r="D937" s="88"/>
      <c r="E937" s="88"/>
      <c r="F937" s="88"/>
      <c r="G937" s="114"/>
    </row>
    <row r="938">
      <c r="B938" s="87"/>
      <c r="C938" s="88"/>
      <c r="D938" s="88"/>
      <c r="E938" s="88"/>
      <c r="F938" s="88"/>
      <c r="G938" s="114"/>
    </row>
    <row r="939">
      <c r="B939" s="87"/>
      <c r="C939" s="88"/>
      <c r="D939" s="88"/>
      <c r="E939" s="88"/>
      <c r="F939" s="88"/>
      <c r="G939" s="114"/>
    </row>
    <row r="940">
      <c r="B940" s="87"/>
      <c r="C940" s="88"/>
      <c r="D940" s="88"/>
      <c r="E940" s="88"/>
      <c r="F940" s="88"/>
      <c r="G940" s="114"/>
    </row>
    <row r="941">
      <c r="B941" s="87"/>
      <c r="C941" s="88"/>
      <c r="D941" s="88"/>
      <c r="E941" s="88"/>
      <c r="F941" s="88"/>
      <c r="G941" s="114"/>
    </row>
    <row r="942">
      <c r="B942" s="87"/>
      <c r="C942" s="88"/>
      <c r="D942" s="88"/>
      <c r="E942" s="88"/>
      <c r="F942" s="88"/>
      <c r="G942" s="114"/>
    </row>
    <row r="943">
      <c r="B943" s="87"/>
      <c r="C943" s="88"/>
      <c r="D943" s="88"/>
      <c r="E943" s="88"/>
      <c r="F943" s="88"/>
      <c r="G943" s="114"/>
    </row>
    <row r="944">
      <c r="B944" s="87"/>
      <c r="C944" s="88"/>
      <c r="D944" s="88"/>
      <c r="E944" s="88"/>
      <c r="F944" s="88"/>
      <c r="G944" s="114"/>
    </row>
    <row r="945">
      <c r="B945" s="87"/>
      <c r="C945" s="88"/>
      <c r="D945" s="88"/>
      <c r="E945" s="88"/>
      <c r="F945" s="88"/>
      <c r="G945" s="114"/>
    </row>
    <row r="946">
      <c r="B946" s="87"/>
      <c r="C946" s="88"/>
      <c r="D946" s="88"/>
      <c r="E946" s="88"/>
      <c r="F946" s="88"/>
      <c r="G946" s="114"/>
    </row>
    <row r="947">
      <c r="B947" s="87"/>
      <c r="C947" s="88"/>
      <c r="D947" s="88"/>
      <c r="E947" s="88"/>
      <c r="F947" s="88"/>
      <c r="G947" s="114"/>
    </row>
    <row r="948">
      <c r="B948" s="87"/>
      <c r="C948" s="88"/>
      <c r="D948" s="88"/>
      <c r="E948" s="88"/>
      <c r="F948" s="88"/>
      <c r="G948" s="114"/>
    </row>
    <row r="949">
      <c r="B949" s="87"/>
      <c r="C949" s="88"/>
      <c r="D949" s="88"/>
      <c r="E949" s="88"/>
      <c r="F949" s="88"/>
      <c r="G949" s="114"/>
    </row>
    <row r="950">
      <c r="B950" s="87"/>
      <c r="C950" s="88"/>
      <c r="D950" s="88"/>
      <c r="E950" s="88"/>
      <c r="F950" s="88"/>
      <c r="G950" s="114"/>
    </row>
    <row r="951">
      <c r="B951" s="87"/>
      <c r="C951" s="88"/>
      <c r="D951" s="88"/>
      <c r="E951" s="88"/>
      <c r="F951" s="88"/>
      <c r="G951" s="114"/>
    </row>
    <row r="952">
      <c r="B952" s="87"/>
      <c r="C952" s="88"/>
      <c r="D952" s="88"/>
      <c r="E952" s="88"/>
      <c r="F952" s="88"/>
      <c r="G952" s="114"/>
    </row>
    <row r="953">
      <c r="B953" s="87"/>
      <c r="C953" s="88"/>
      <c r="D953" s="88"/>
      <c r="E953" s="88"/>
      <c r="F953" s="88"/>
      <c r="G953" s="114"/>
    </row>
    <row r="954">
      <c r="B954" s="87"/>
      <c r="C954" s="88"/>
      <c r="D954" s="88"/>
      <c r="E954" s="88"/>
      <c r="F954" s="88"/>
      <c r="G954" s="114"/>
    </row>
    <row r="955">
      <c r="B955" s="87"/>
      <c r="C955" s="88"/>
      <c r="D955" s="88"/>
      <c r="E955" s="88"/>
      <c r="F955" s="88"/>
      <c r="G955" s="114"/>
    </row>
    <row r="956">
      <c r="B956" s="87"/>
      <c r="C956" s="88"/>
      <c r="D956" s="88"/>
      <c r="E956" s="88"/>
      <c r="F956" s="88"/>
      <c r="G956" s="114"/>
    </row>
    <row r="957">
      <c r="B957" s="87"/>
      <c r="C957" s="88"/>
      <c r="D957" s="88"/>
      <c r="E957" s="88"/>
      <c r="F957" s="88"/>
      <c r="G957" s="114"/>
    </row>
    <row r="958">
      <c r="B958" s="87"/>
      <c r="C958" s="88"/>
      <c r="D958" s="88"/>
      <c r="E958" s="88"/>
      <c r="F958" s="88"/>
      <c r="G958" s="114"/>
    </row>
    <row r="959">
      <c r="B959" s="87"/>
      <c r="C959" s="88"/>
      <c r="D959" s="88"/>
      <c r="E959" s="88"/>
      <c r="F959" s="88"/>
      <c r="G959" s="114"/>
    </row>
    <row r="960">
      <c r="B960" s="87"/>
      <c r="C960" s="88"/>
      <c r="D960" s="88"/>
      <c r="E960" s="88"/>
      <c r="F960" s="88"/>
      <c r="G960" s="114"/>
    </row>
    <row r="961">
      <c r="B961" s="87"/>
      <c r="C961" s="88"/>
      <c r="D961" s="88"/>
      <c r="E961" s="88"/>
      <c r="F961" s="88"/>
      <c r="G961" s="114"/>
    </row>
    <row r="962">
      <c r="B962" s="87"/>
      <c r="C962" s="88"/>
      <c r="D962" s="88"/>
      <c r="E962" s="88"/>
      <c r="F962" s="88"/>
      <c r="G962" s="114"/>
    </row>
    <row r="963">
      <c r="B963" s="87"/>
      <c r="C963" s="88"/>
      <c r="D963" s="88"/>
      <c r="E963" s="88"/>
      <c r="F963" s="88"/>
      <c r="G963" s="114"/>
    </row>
    <row r="964">
      <c r="B964" s="87"/>
      <c r="C964" s="88"/>
      <c r="D964" s="88"/>
      <c r="E964" s="88"/>
      <c r="F964" s="88"/>
      <c r="G964" s="114"/>
    </row>
    <row r="965">
      <c r="B965" s="87"/>
      <c r="C965" s="88"/>
      <c r="D965" s="88"/>
      <c r="E965" s="88"/>
      <c r="F965" s="88"/>
      <c r="G965" s="114"/>
    </row>
    <row r="966">
      <c r="B966" s="87"/>
      <c r="C966" s="88"/>
      <c r="D966" s="88"/>
      <c r="E966" s="88"/>
      <c r="F966" s="88"/>
      <c r="G966" s="114"/>
    </row>
    <row r="967">
      <c r="B967" s="87"/>
      <c r="C967" s="88"/>
      <c r="D967" s="88"/>
      <c r="E967" s="88"/>
      <c r="F967" s="88"/>
      <c r="G967" s="114"/>
    </row>
    <row r="968">
      <c r="B968" s="87"/>
      <c r="C968" s="88"/>
      <c r="D968" s="88"/>
      <c r="E968" s="88"/>
      <c r="F968" s="88"/>
      <c r="G968" s="114"/>
    </row>
    <row r="969">
      <c r="B969" s="87"/>
      <c r="C969" s="88"/>
      <c r="D969" s="88"/>
      <c r="E969" s="88"/>
      <c r="F969" s="88"/>
      <c r="G969" s="114"/>
    </row>
    <row r="970">
      <c r="B970" s="87"/>
      <c r="C970" s="88"/>
      <c r="D970" s="88"/>
      <c r="E970" s="88"/>
      <c r="F970" s="88"/>
      <c r="G970" s="114"/>
    </row>
    <row r="971">
      <c r="B971" s="87"/>
      <c r="C971" s="88"/>
      <c r="D971" s="88"/>
      <c r="E971" s="88"/>
      <c r="F971" s="88"/>
      <c r="G971" s="114"/>
    </row>
    <row r="972">
      <c r="B972" s="87"/>
      <c r="C972" s="88"/>
      <c r="D972" s="88"/>
      <c r="E972" s="88"/>
      <c r="F972" s="88"/>
      <c r="G972" s="114"/>
    </row>
    <row r="973">
      <c r="B973" s="87"/>
      <c r="C973" s="88"/>
      <c r="D973" s="88"/>
      <c r="E973" s="88"/>
      <c r="F973" s="88"/>
      <c r="G973" s="114"/>
    </row>
    <row r="974">
      <c r="B974" s="87"/>
      <c r="C974" s="88"/>
      <c r="D974" s="88"/>
      <c r="E974" s="88"/>
      <c r="F974" s="88"/>
      <c r="G974" s="114"/>
    </row>
    <row r="975">
      <c r="B975" s="87"/>
      <c r="C975" s="88"/>
      <c r="D975" s="88"/>
      <c r="E975" s="88"/>
      <c r="F975" s="88"/>
      <c r="G975" s="114"/>
    </row>
    <row r="976">
      <c r="B976" s="87"/>
      <c r="C976" s="88"/>
      <c r="D976" s="88"/>
      <c r="E976" s="88"/>
      <c r="F976" s="88"/>
      <c r="G976" s="114"/>
    </row>
    <row r="977">
      <c r="B977" s="87"/>
      <c r="C977" s="88"/>
      <c r="D977" s="88"/>
      <c r="E977" s="88"/>
      <c r="F977" s="88"/>
      <c r="G977" s="114"/>
    </row>
    <row r="978">
      <c r="B978" s="87"/>
      <c r="C978" s="88"/>
      <c r="D978" s="88"/>
      <c r="E978" s="88"/>
      <c r="F978" s="88"/>
      <c r="G978" s="114"/>
    </row>
    <row r="979">
      <c r="B979" s="87"/>
      <c r="C979" s="88"/>
      <c r="D979" s="88"/>
      <c r="E979" s="88"/>
      <c r="F979" s="88"/>
      <c r="G979" s="114"/>
    </row>
    <row r="980">
      <c r="B980" s="87"/>
      <c r="C980" s="88"/>
      <c r="D980" s="88"/>
      <c r="E980" s="88"/>
      <c r="F980" s="88"/>
      <c r="G980" s="114"/>
    </row>
    <row r="981">
      <c r="B981" s="87"/>
      <c r="C981" s="88"/>
      <c r="D981" s="88"/>
      <c r="E981" s="88"/>
      <c r="F981" s="88"/>
      <c r="G981" s="114"/>
    </row>
    <row r="982">
      <c r="B982" s="87"/>
      <c r="C982" s="88"/>
      <c r="D982" s="88"/>
      <c r="E982" s="88"/>
      <c r="F982" s="88"/>
      <c r="G982" s="114"/>
    </row>
    <row r="983">
      <c r="B983" s="87"/>
      <c r="C983" s="88"/>
      <c r="D983" s="88"/>
      <c r="E983" s="88"/>
      <c r="F983" s="88"/>
      <c r="G983" s="114"/>
    </row>
    <row r="984">
      <c r="B984" s="87"/>
      <c r="C984" s="88"/>
      <c r="D984" s="88"/>
      <c r="E984" s="88"/>
      <c r="F984" s="88"/>
      <c r="G984" s="114"/>
    </row>
    <row r="985">
      <c r="B985" s="87"/>
      <c r="C985" s="88"/>
      <c r="D985" s="88"/>
      <c r="E985" s="88"/>
      <c r="F985" s="88"/>
      <c r="G985" s="114"/>
    </row>
    <row r="986">
      <c r="B986" s="87"/>
      <c r="C986" s="88"/>
      <c r="D986" s="88"/>
      <c r="E986" s="88"/>
      <c r="F986" s="88"/>
      <c r="G986" s="114"/>
    </row>
    <row r="987">
      <c r="B987" s="87"/>
      <c r="C987" s="88"/>
      <c r="D987" s="88"/>
      <c r="E987" s="88"/>
      <c r="F987" s="88"/>
      <c r="G987" s="114"/>
    </row>
    <row r="988">
      <c r="B988" s="87"/>
      <c r="C988" s="88"/>
      <c r="D988" s="88"/>
      <c r="E988" s="88"/>
      <c r="F988" s="88"/>
      <c r="G988" s="114"/>
    </row>
    <row r="989">
      <c r="B989" s="87"/>
      <c r="C989" s="88"/>
      <c r="D989" s="88"/>
      <c r="E989" s="88"/>
      <c r="F989" s="88"/>
      <c r="G989" s="114"/>
    </row>
    <row r="990">
      <c r="B990" s="87"/>
      <c r="C990" s="88"/>
      <c r="D990" s="88"/>
      <c r="E990" s="88"/>
      <c r="F990" s="88"/>
      <c r="G990" s="114"/>
    </row>
    <row r="991">
      <c r="B991" s="87"/>
      <c r="C991" s="88"/>
      <c r="D991" s="88"/>
      <c r="E991" s="88"/>
      <c r="F991" s="88"/>
      <c r="G991" s="114"/>
    </row>
    <row r="992">
      <c r="B992" s="87"/>
      <c r="C992" s="88"/>
      <c r="D992" s="88"/>
      <c r="E992" s="88"/>
      <c r="F992" s="88"/>
      <c r="G992" s="114"/>
    </row>
    <row r="993">
      <c r="B993" s="87"/>
      <c r="C993" s="88"/>
      <c r="D993" s="88"/>
      <c r="E993" s="88"/>
      <c r="F993" s="88"/>
      <c r="G993" s="114"/>
    </row>
    <row r="994">
      <c r="B994" s="87"/>
      <c r="C994" s="88"/>
      <c r="D994" s="88"/>
      <c r="E994" s="88"/>
      <c r="F994" s="88"/>
      <c r="G994" s="114"/>
    </row>
    <row r="995">
      <c r="B995" s="87"/>
      <c r="C995" s="88"/>
      <c r="D995" s="88"/>
      <c r="E995" s="88"/>
      <c r="F995" s="88"/>
      <c r="G995" s="114"/>
    </row>
    <row r="996">
      <c r="B996" s="87"/>
      <c r="C996" s="88"/>
      <c r="D996" s="88"/>
      <c r="E996" s="88"/>
      <c r="F996" s="88"/>
      <c r="G996" s="114"/>
    </row>
    <row r="997">
      <c r="B997" s="87"/>
      <c r="C997" s="88"/>
      <c r="D997" s="88"/>
      <c r="E997" s="88"/>
      <c r="F997" s="88"/>
      <c r="G997" s="114"/>
    </row>
    <row r="998">
      <c r="B998" s="87"/>
      <c r="C998" s="88"/>
      <c r="D998" s="88"/>
      <c r="E998" s="88"/>
      <c r="F998" s="88"/>
      <c r="G998" s="114"/>
    </row>
  </sheetData>
  <mergeCells count="9">
    <mergeCell ref="C17:E17"/>
    <mergeCell ref="F17:F19"/>
    <mergeCell ref="B3:G3"/>
    <mergeCell ref="B4:B6"/>
    <mergeCell ref="C4:E4"/>
    <mergeCell ref="F4:F6"/>
    <mergeCell ref="G4:G6"/>
    <mergeCell ref="B16:F16"/>
    <mergeCell ref="B17:B19"/>
  </mergeCells>
  <conditionalFormatting sqref="K9">
    <cfRule type="cellIs" dxfId="5" priority="1" operator="lessThan">
      <formula>700000</formula>
    </cfRule>
  </conditionalFormatting>
  <conditionalFormatting sqref="F13">
    <cfRule type="notContainsBlanks" dxfId="8" priority="2">
      <formula>LEN(TRIM(F13))&gt;0</formula>
    </cfRule>
  </conditionalFormatting>
  <conditionalFormatting sqref="F20:F24">
    <cfRule type="cellIs" dxfId="9" priority="3" operator="lessThan">
      <formula>"20%"</formula>
    </cfRule>
  </conditionalFormatting>
  <conditionalFormatting sqref="F25">
    <cfRule type="cellIs" dxfId="10" priority="4" operator="lessThan">
      <formula>"100%"</formula>
    </cfRule>
  </conditionalFormatting>
  <conditionalFormatting sqref="F7:F11">
    <cfRule type="cellIs" dxfId="11" priority="5" operator="greaterThanOrEqual">
      <formula>100000</formula>
    </cfRule>
  </conditionalFormatting>
  <conditionalFormatting sqref="F7:F11">
    <cfRule type="cellIs" dxfId="12" priority="6" operator="between">
      <formula>95000</formula>
      <formula>99000</formula>
    </cfRule>
  </conditionalFormatting>
  <conditionalFormatting sqref="F7:F11">
    <cfRule type="cellIs" dxfId="13" priority="7" operator="lessThanOrEqual">
      <formula>95000</formula>
    </cfRule>
  </conditionalFormatting>
  <conditionalFormatting sqref="F12">
    <cfRule type="cellIs" dxfId="11" priority="8" operator="greaterThanOrEqual">
      <formula>500000</formula>
    </cfRule>
  </conditionalFormatting>
  <conditionalFormatting sqref="F12">
    <cfRule type="cellIs" dxfId="13" priority="9" operator="lessThanOrEqual">
      <formula>499000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